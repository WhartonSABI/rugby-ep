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kennywatts/Documents/GitHub/Rugby-Expected-Points/"/>
    </mc:Choice>
  </mc:AlternateContent>
  <xr:revisionPtr revIDLastSave="0" documentId="8_{0839D532-3482-0E47-9E9E-B0D649553CC6}" xr6:coauthVersionLast="47" xr6:coauthVersionMax="47" xr10:uidLastSave="{00000000-0000-0000-0000-000000000000}"/>
  <bookViews>
    <workbookView xWindow="0" yWindow="740" windowWidth="29400" windowHeight="17360" activeTab="2" xr2:uid="{00000000-000D-0000-FFFF-FFFF00000000}"/>
  </bookViews>
  <sheets>
    <sheet name="Success by Venue" sheetId="35" r:id="rId1"/>
    <sheet name="Overall Distribution" sheetId="14" r:id="rId2"/>
    <sheet name="Penalty Distribution" sheetId="36" r:id="rId3"/>
    <sheet name="Conversion Distribution" sheetId="37" r:id="rId4"/>
    <sheet name="Sheet1" sheetId="30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4" l="1"/>
  <c r="P17" i="14" s="1"/>
  <c r="P6" i="14"/>
  <c r="P7" i="14"/>
  <c r="P8" i="14"/>
  <c r="P9" i="14"/>
  <c r="P10" i="14"/>
  <c r="P11" i="14"/>
  <c r="P12" i="14"/>
  <c r="P13" i="14"/>
  <c r="P14" i="14"/>
  <c r="P15" i="14"/>
  <c r="P16" i="14"/>
  <c r="P4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B17" i="14"/>
  <c r="P6" i="36"/>
  <c r="P7" i="36"/>
  <c r="P17" i="36" s="1"/>
  <c r="P8" i="36"/>
  <c r="P9" i="36"/>
  <c r="P10" i="36"/>
  <c r="P11" i="36"/>
  <c r="P12" i="36"/>
  <c r="P13" i="36"/>
  <c r="P14" i="36"/>
  <c r="P15" i="36"/>
  <c r="P16" i="36"/>
  <c r="P5" i="36"/>
</calcChain>
</file>

<file path=xl/sharedStrings.xml><?xml version="1.0" encoding="utf-8"?>
<sst xmlns="http://schemas.openxmlformats.org/spreadsheetml/2006/main" count="904" uniqueCount="421">
  <si>
    <t>Distance from Try line (m)</t>
  </si>
  <si>
    <t>0-5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</si>
  <si>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</si>
  <si>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</si>
  <si>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</si>
  <si>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</si>
  <si>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</si>
  <si>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</si>
  <si>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</si>
  <si>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</si>
  <si>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</si>
  <si>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</si>
  <si>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</si>
  <si>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5-10</t>
  </si>
  <si>
    <t>10-15</t>
  </si>
  <si>
    <t>Grand Total</t>
  </si>
  <si>
    <t>Distance from left hand touch-line</t>
  </si>
  <si>
    <t>Distance from Try line</t>
  </si>
  <si>
    <t>Distance from left-hand touchline</t>
  </si>
  <si>
    <t>Rank</t>
  </si>
  <si>
    <t>Total</t>
  </si>
  <si>
    <t>Venue</t>
  </si>
  <si>
    <t>Millennium Stadium</t>
  </si>
  <si>
    <t>Loftus Versfeld</t>
  </si>
  <si>
    <t>Suncorp Stadium</t>
  </si>
  <si>
    <t>Free State Stadium</t>
  </si>
  <si>
    <t>Waikato Stadium</t>
  </si>
  <si>
    <t>Stade Geoffroy-Guichard</t>
  </si>
  <si>
    <t>Yarrows Stadium</t>
  </si>
  <si>
    <t>Aviva Stadium</t>
  </si>
  <si>
    <t>Stade de France</t>
  </si>
  <si>
    <t>Olympic Stadium</t>
  </si>
  <si>
    <t>Stade Municipal</t>
  </si>
  <si>
    <t>Rotorua International Stadium</t>
  </si>
  <si>
    <t>Carisbrook</t>
  </si>
  <si>
    <t>P.A.M. Brink Stadium</t>
  </si>
  <si>
    <t>Football Stadium</t>
  </si>
  <si>
    <t>Twickenham</t>
  </si>
  <si>
    <t>Telstra Dome</t>
  </si>
  <si>
    <t>Puerto Madryn</t>
  </si>
  <si>
    <t>Colonial Stadium</t>
  </si>
  <si>
    <t>Stadio Dino Manuzzi</t>
  </si>
  <si>
    <t>Kings Park Stadium</t>
  </si>
  <si>
    <t>Racecourse Ground</t>
  </si>
  <si>
    <t>Royal Bafokeng Stadium</t>
  </si>
  <si>
    <t>Ellis Park</t>
  </si>
  <si>
    <t>Buffalo City Stadium</t>
  </si>
  <si>
    <t>Stadio Marassi</t>
  </si>
  <si>
    <t>Le Stade de Toulouse</t>
  </si>
  <si>
    <t>Cancha Del Atletico</t>
  </si>
  <si>
    <t>Estadio Brigadier General Estanislao Lop</t>
  </si>
  <si>
    <t>Aurora Stadium</t>
  </si>
  <si>
    <t>McLean Park</t>
  </si>
  <si>
    <t>Boet Erasmus</t>
  </si>
  <si>
    <t>Newlands</t>
  </si>
  <si>
    <t>Thomond Park</t>
  </si>
  <si>
    <t>L'Aquila</t>
  </si>
  <si>
    <t>Glendale</t>
  </si>
  <si>
    <t>Nelson Mandela Bay Stadium</t>
  </si>
  <si>
    <t>Stade Aerodrome</t>
  </si>
  <si>
    <t>Dinamo Stadium</t>
  </si>
  <si>
    <t>International Stadium</t>
  </si>
  <si>
    <t>FNB Stadium</t>
  </si>
  <si>
    <t>Johann van Riebeeck Stadium</t>
  </si>
  <si>
    <t>The Colloseum</t>
  </si>
  <si>
    <t>Churchill Park</t>
  </si>
  <si>
    <t>Commonwealth Stadium</t>
  </si>
  <si>
    <t>Stade Felix Bollaert</t>
  </si>
  <si>
    <t>Stade de la Mosson</t>
  </si>
  <si>
    <t>York Stadium</t>
  </si>
  <si>
    <t>San Siro</t>
  </si>
  <si>
    <t>Prince Chichibu Memorial Stadium</t>
  </si>
  <si>
    <t>Cordoba</t>
  </si>
  <si>
    <t>Stadium Taranaki</t>
  </si>
  <si>
    <t>Murrayfield</t>
  </si>
  <si>
    <t>Parc des Princes</t>
  </si>
  <si>
    <t>Etihad Stadium</t>
  </si>
  <si>
    <t>Adelaide Oval</t>
  </si>
  <si>
    <t>Velez Sarsfield</t>
  </si>
  <si>
    <t>Asti</t>
  </si>
  <si>
    <t>Stade de la Beaujoire</t>
  </si>
  <si>
    <t>WIN Stadium</t>
  </si>
  <si>
    <t>Croke Park</t>
  </si>
  <si>
    <t>Stadio Lamarmora</t>
  </si>
  <si>
    <t>Apia Park</t>
  </si>
  <si>
    <t>Northland Events Centre</t>
  </si>
  <si>
    <t>Melbourne Cricket Ground</t>
  </si>
  <si>
    <t>Dairy Farmers Stadium</t>
  </si>
  <si>
    <t>Trafalgar Park</t>
  </si>
  <si>
    <t>Sendai Stadium</t>
  </si>
  <si>
    <t>Arena Manawatu</t>
  </si>
  <si>
    <t>Stade Velodrome</t>
  </si>
  <si>
    <t>Stade de Gerland</t>
  </si>
  <si>
    <t>Stade Chaban-Delmas</t>
  </si>
  <si>
    <t>Stadio Flaminio</t>
  </si>
  <si>
    <t>River Plate Stadium</t>
  </si>
  <si>
    <t>Hong Kong Stadium</t>
  </si>
  <si>
    <t>Lansdowne Road</t>
  </si>
  <si>
    <t>Stade Marcel Saupin</t>
  </si>
  <si>
    <t>Bluetongue Central Coast Stadium</t>
  </si>
  <si>
    <t>North Harbour Stadium</t>
  </si>
  <si>
    <t>Jade Stadium</t>
  </si>
  <si>
    <t>Eden Park</t>
  </si>
  <si>
    <t>Rugby Park Stadium</t>
  </si>
  <si>
    <t>Canberra Stadium</t>
  </si>
  <si>
    <t>Subiaco Oval</t>
  </si>
  <si>
    <t>Otago Stadium</t>
  </si>
  <si>
    <t>Stadium Australia</t>
  </si>
  <si>
    <t>Westpac Stadium</t>
  </si>
  <si>
    <t/>
  </si>
  <si>
    <t>Conversion Success Percentages (Estimated from Model)</t>
  </si>
  <si>
    <t>Adjusted success rate (%) (90% CI)</t>
  </si>
  <si>
    <t>Kick attempts</t>
  </si>
  <si>
    <t>Goal Kick Distribution per 1000 Attempts</t>
  </si>
  <si>
    <t>Goal Kick Percentages (Estimated from Model)</t>
  </si>
  <si>
    <t>Penalty Distribution per 1000 Attempts</t>
  </si>
  <si>
    <t>Penalty Success Percentages (Estimated from Model)</t>
  </si>
  <si>
    <t>Conversion Distribution per 1000 Attempts</t>
  </si>
  <si>
    <t>77 (71-82)</t>
  </si>
  <si>
    <t>77 (73-80)</t>
  </si>
  <si>
    <t>76 (70-82)</t>
  </si>
  <si>
    <t>76 (71-81)</t>
  </si>
  <si>
    <t>76 (70-81)</t>
  </si>
  <si>
    <t>75 (68-81)</t>
  </si>
  <si>
    <t>75 (68-80)</t>
  </si>
  <si>
    <t>74 (70-78)</t>
  </si>
  <si>
    <t>74 (67-81)</t>
  </si>
  <si>
    <t>74 (67-80)</t>
  </si>
  <si>
    <t>74 (68-80)</t>
  </si>
  <si>
    <t>74 (66-80)</t>
  </si>
  <si>
    <t>74 (67-79)</t>
  </si>
  <si>
    <t>73 (66-80)</t>
  </si>
  <si>
    <t>73 (67-79)</t>
  </si>
  <si>
    <t>73 (65-80)</t>
  </si>
  <si>
    <t>73 (66-79)</t>
  </si>
  <si>
    <t>73 (65-79)</t>
  </si>
  <si>
    <t>72 (65-79)</t>
  </si>
  <si>
    <t>72 (68-77)</t>
  </si>
  <si>
    <t>72 (66-78)</t>
  </si>
  <si>
    <t>72 (64-79)</t>
  </si>
  <si>
    <t>72 (65-78)</t>
  </si>
  <si>
    <t>72 (66-77)</t>
  </si>
  <si>
    <t>72 (65-77)</t>
  </si>
  <si>
    <t>71 (66-76)</t>
  </si>
  <si>
    <t>71 (64-78)</t>
  </si>
  <si>
    <t>71 (63-78)</t>
  </si>
  <si>
    <t>71 (64-77)</t>
  </si>
  <si>
    <t>71 (65-76)</t>
  </si>
  <si>
    <t>70 (62-77)</t>
  </si>
  <si>
    <t>70 (62-76)</t>
  </si>
  <si>
    <t>69 (63-75)</t>
  </si>
  <si>
    <t>68 (61-75)</t>
  </si>
  <si>
    <t>68 (63-73)</t>
  </si>
  <si>
    <t>67 (61-72)</t>
  </si>
  <si>
    <t>99 (97-100)</t>
  </si>
  <si>
    <t>92 (78-97)</t>
  </si>
  <si>
    <t>74 (50-88)</t>
  </si>
  <si>
    <t>96 (91-99)</t>
  </si>
  <si>
    <t>96 (90-98)</t>
  </si>
  <si>
    <t>82 (63-93)</t>
  </si>
  <si>
    <t>72 (49-88)</t>
  </si>
  <si>
    <t>48 (26-71)</t>
  </si>
  <si>
    <t>64 (41-82)</t>
  </si>
  <si>
    <t>76 (55-89)</t>
  </si>
  <si>
    <t>92 (82-97)</t>
  </si>
  <si>
    <t>99 (96-99)</t>
  </si>
  <si>
    <t>98 (96-99)</t>
  </si>
  <si>
    <t>96 (91-98)</t>
  </si>
  <si>
    <t>92 (81-97)</t>
  </si>
  <si>
    <t>85 (67-94)</t>
  </si>
  <si>
    <t>75 (53-89)</t>
  </si>
  <si>
    <t>76 (54-89)</t>
  </si>
  <si>
    <t>85 (68-94)</t>
  </si>
  <si>
    <t>91 (81-96)</t>
  </si>
  <si>
    <t>95 (89-98)</t>
  </si>
  <si>
    <t>98 (94-99)</t>
  </si>
  <si>
    <t>97 (93-99)</t>
  </si>
  <si>
    <t>95 (88-98)</t>
  </si>
  <si>
    <t>91 (79-96)</t>
  </si>
  <si>
    <t>84 (67-93)</t>
  </si>
  <si>
    <t>74 (53-88)</t>
  </si>
  <si>
    <t>62 (39-81)</t>
  </si>
  <si>
    <t>49 (28-71)</t>
  </si>
  <si>
    <t>48 (27-70)</t>
  </si>
  <si>
    <t>61 (38-80)</t>
  </si>
  <si>
    <t>73 (51-87)</t>
  </si>
  <si>
    <t>82 (64-92)</t>
  </si>
  <si>
    <t>89 (76-95)</t>
  </si>
  <si>
    <t>93 (84-97)</t>
  </si>
  <si>
    <t>96 (89-98)</t>
  </si>
  <si>
    <t>93 (83-97)</t>
  </si>
  <si>
    <t>88 (75-95)</t>
  </si>
  <si>
    <t>81 (63-92)</t>
  </si>
  <si>
    <t>71 (49-86)</t>
  </si>
  <si>
    <t>59 (36-79)</t>
  </si>
  <si>
    <t>47 (26-69)</t>
  </si>
  <si>
    <t>44 (23-66)</t>
  </si>
  <si>
    <t>56 (33-76)</t>
  </si>
  <si>
    <t>67 (45-84)</t>
  </si>
  <si>
    <t>77 (57-90)</t>
  </si>
  <si>
    <t>84 (68-93)</t>
  </si>
  <si>
    <t>90 (77-96)</t>
  </si>
  <si>
    <t>66 (43-83)</t>
  </si>
  <si>
    <t>54 (32-75)</t>
  </si>
  <si>
    <t>42 (22-65)</t>
  </si>
  <si>
    <t>37 (19-60)</t>
  </si>
  <si>
    <t>48 (27-71)</t>
  </si>
  <si>
    <t>60 (37-79)</t>
  </si>
  <si>
    <t>70 (47-85)</t>
  </si>
  <si>
    <t>78 (58-90)</t>
  </si>
  <si>
    <t>83 (66-93)</t>
  </si>
  <si>
    <t>87 (73-95)</t>
  </si>
  <si>
    <t>87 (71-94)</t>
  </si>
  <si>
    <t>82 (65-92)</t>
  </si>
  <si>
    <t>76 (56-89)</t>
  </si>
  <si>
    <t>68 (46-84)</t>
  </si>
  <si>
    <t>58 (35-78)</t>
  </si>
  <si>
    <t>36 (18-59)</t>
  </si>
  <si>
    <t>30 (15-53)</t>
  </si>
  <si>
    <t>40 (21-63)</t>
  </si>
  <si>
    <t>50 (28-72)</t>
  </si>
  <si>
    <t>68 (45-84)</t>
  </si>
  <si>
    <t>79 (59-91)</t>
  </si>
  <si>
    <t>66 (44-83)</t>
  </si>
  <si>
    <t>38 (20-61)</t>
  </si>
  <si>
    <t>29 (14-51)</t>
  </si>
  <si>
    <t>23 (11-44)</t>
  </si>
  <si>
    <t>31 (15-53)</t>
  </si>
  <si>
    <t>39 (20-62)</t>
  </si>
  <si>
    <t>48 (26-70)</t>
  </si>
  <si>
    <t>55 (33-76)</t>
  </si>
  <si>
    <t>67 (44-84)</t>
  </si>
  <si>
    <t>65 (42-83)</t>
  </si>
  <si>
    <t>54 (31-75)</t>
  </si>
  <si>
    <t>46 (25-68)</t>
  </si>
  <si>
    <t>38 (19-61)</t>
  </si>
  <si>
    <t>29 (14-52)</t>
  </si>
  <si>
    <t>22 (10-42)</t>
  </si>
  <si>
    <t>17 (7-34)</t>
  </si>
  <si>
    <t>22 (10-43)</t>
  </si>
  <si>
    <t>35 (18-58)</t>
  </si>
  <si>
    <t>47 (26-70)</t>
  </si>
  <si>
    <t>52 (29-73)</t>
  </si>
  <si>
    <t>34 (17-57)</t>
  </si>
  <si>
    <t>27 (13-49)</t>
  </si>
  <si>
    <t>21 (9-41)</t>
  </si>
  <si>
    <t>16 (7-33)</t>
  </si>
  <si>
    <t>12 (5-25)</t>
  </si>
  <si>
    <t>15 (7-32)</t>
  </si>
  <si>
    <t>20 (9-39)</t>
  </si>
  <si>
    <t>24 (11-45)</t>
  </si>
  <si>
    <t>33 (16-56)</t>
  </si>
  <si>
    <t>36 (18-60)</t>
  </si>
  <si>
    <t>35 (17-58)</t>
  </si>
  <si>
    <t>32 (15-54)</t>
  </si>
  <si>
    <t>28 (13-50)</t>
  </si>
  <si>
    <t>23 (10-44)</t>
  </si>
  <si>
    <t>19 (8-37)</t>
  </si>
  <si>
    <t>14 (6-30)</t>
  </si>
  <si>
    <t>23 (10-45)</t>
  </si>
  <si>
    <t>18 (8-36)</t>
  </si>
  <si>
    <t>15 (6-31)</t>
  </si>
  <si>
    <t>9 (4-21)</t>
  </si>
  <si>
    <t>8 (3-18)</t>
  </si>
  <si>
    <t>13 (5-28)</t>
  </si>
  <si>
    <t>13 (5-29)</t>
  </si>
  <si>
    <t>11 (4-24)</t>
  </si>
  <si>
    <t>94 (87-97)</t>
  </si>
  <si>
    <t>72 (55-84)</t>
  </si>
  <si>
    <t>97 (94-99)</t>
  </si>
  <si>
    <t>99 (98-100)</t>
  </si>
  <si>
    <t>98 (97-99)</t>
  </si>
  <si>
    <t>99 (97-99)</t>
  </si>
  <si>
    <t>79 (61-90)</t>
  </si>
  <si>
    <t>85 (75-92)</t>
  </si>
  <si>
    <t>56 (38-72)</t>
  </si>
  <si>
    <t>70 (54-82)</t>
  </si>
  <si>
    <t>95 (91-98)</t>
  </si>
  <si>
    <t>97 (94-98)</t>
  </si>
  <si>
    <t>97 (92-98)</t>
  </si>
  <si>
    <t>96 (92-98)</t>
  </si>
  <si>
    <t>79 (64-89)</t>
  </si>
  <si>
    <t>64 (22-92)</t>
  </si>
  <si>
    <t>82 (69-90)</t>
  </si>
  <si>
    <t>89 (80-94)</t>
  </si>
  <si>
    <t>97 (93-98)</t>
  </si>
  <si>
    <t>98 (95-99)</t>
  </si>
  <si>
    <t>94 (88-96)</t>
  </si>
  <si>
    <t>92 (84-96)</t>
  </si>
  <si>
    <t>87 (72-94)</t>
  </si>
  <si>
    <t>70 (52-84)</t>
  </si>
  <si>
    <t>49 (32-66)</t>
  </si>
  <si>
    <t>64 (46-79)</t>
  </si>
  <si>
    <t>75 (58-87)</t>
  </si>
  <si>
    <t>85 (73-92)</t>
  </si>
  <si>
    <t>90 (81-95)</t>
  </si>
  <si>
    <t>95 (90-97)</t>
  </si>
  <si>
    <t>93 (86-97)</t>
  </si>
  <si>
    <t>87 (77-93)</t>
  </si>
  <si>
    <t>81 (66-91)</t>
  </si>
  <si>
    <t>70 (53-83)</t>
  </si>
  <si>
    <t>58 (40-73)</t>
  </si>
  <si>
    <t>49 (32-67)</t>
  </si>
  <si>
    <t>47 (30-65)</t>
  </si>
  <si>
    <t>62 (44-78)</t>
  </si>
  <si>
    <t>74 (57-85)</t>
  </si>
  <si>
    <t>91 (85-95)</t>
  </si>
  <si>
    <t>95 (89-97)</t>
  </si>
  <si>
    <t>89 (80-95)</t>
  </si>
  <si>
    <t>89 (79-95)</t>
  </si>
  <si>
    <t>71 (54-84)</t>
  </si>
  <si>
    <t>45 (28-63)</t>
  </si>
  <si>
    <t>43 (27-61)</t>
  </si>
  <si>
    <t>57 (39-74)</t>
  </si>
  <si>
    <t>69 (52-83)</t>
  </si>
  <si>
    <t>80 (66-89)</t>
  </si>
  <si>
    <t>63 (47-77)</t>
  </si>
  <si>
    <t>50 (29-72)</t>
  </si>
  <si>
    <t>46 (26-68)</t>
  </si>
  <si>
    <t>53 (32-72)</t>
  </si>
  <si>
    <t>74 (59-85)</t>
  </si>
  <si>
    <t>53 (35-69)</t>
  </si>
  <si>
    <t>35 (21-52)</t>
  </si>
  <si>
    <t>86 (76-93)</t>
  </si>
  <si>
    <t>97 (95-99)</t>
  </si>
  <si>
    <t>80 (65-89)</t>
  </si>
  <si>
    <t>85 (72-92)</t>
  </si>
  <si>
    <t>90 (82-95)</t>
  </si>
  <si>
    <t>94 (88-97)</t>
  </si>
  <si>
    <t>95 (90-98)</t>
  </si>
  <si>
    <t>91 (83-96)</t>
  </si>
  <si>
    <t>84 (71-92)</t>
  </si>
  <si>
    <t>84 (73-91)</t>
  </si>
  <si>
    <t>53 (35-70)</t>
  </si>
  <si>
    <t>65 (48-79)</t>
  </si>
  <si>
    <t>78 (63-88)</t>
  </si>
  <si>
    <t>86 (75-93)</t>
  </si>
  <si>
    <t>92 (85-96)</t>
  </si>
  <si>
    <t>94 (89-97)</t>
  </si>
  <si>
    <t>93 (85-96)</t>
  </si>
  <si>
    <t>88 (78-94)</t>
  </si>
  <si>
    <t>62 (45-77)</t>
  </si>
  <si>
    <t>47 (29-65)</t>
  </si>
  <si>
    <t>52 (35-69)</t>
  </si>
  <si>
    <t>63 (46-78)</t>
  </si>
  <si>
    <t>76 (61-87)</t>
  </si>
  <si>
    <t>83 (70-91)</t>
  </si>
  <si>
    <t>87 (76-93)</t>
  </si>
  <si>
    <t>93 (87-97)</t>
  </si>
  <si>
    <t>89 (79-94)</t>
  </si>
  <si>
    <t>84 (72-91)</t>
  </si>
  <si>
    <t>71 (55-84)</t>
  </si>
  <si>
    <t>59 (42-74)</t>
  </si>
  <si>
    <t>47 (31-64)</t>
  </si>
  <si>
    <t>44 (28-61)</t>
  </si>
  <si>
    <t>54 (36-70)</t>
  </si>
  <si>
    <t>66 (48-79)</t>
  </si>
  <si>
    <t>73 (58-85)</t>
  </si>
  <si>
    <t>82 (69-91)</t>
  </si>
  <si>
    <t>79 (63-89)</t>
  </si>
  <si>
    <t>70 (54-83)</t>
  </si>
  <si>
    <t>59 (41-74)</t>
  </si>
  <si>
    <t>51 (34-68)</t>
  </si>
  <si>
    <t>38 (22-57)</t>
  </si>
  <si>
    <t>36 (22-53)</t>
  </si>
  <si>
    <t>46 (30-63)</t>
  </si>
  <si>
    <t>59 (42-75)</t>
  </si>
  <si>
    <t>65 (47-79)</t>
  </si>
  <si>
    <t>73 (56-84)</t>
  </si>
  <si>
    <t>81 (68-90)</t>
  </si>
  <si>
    <t>68 (51-82)</t>
  </si>
  <si>
    <t>63 (45-78)</t>
  </si>
  <si>
    <t>53 (37-70)</t>
  </si>
  <si>
    <t>40 (26-57)</t>
  </si>
  <si>
    <t>34 (19-54)</t>
  </si>
  <si>
    <t>33 (18-51)</t>
  </si>
  <si>
    <t>39 (24-57)</t>
  </si>
  <si>
    <t>46 (29-64)</t>
  </si>
  <si>
    <t>56 (39-72)</t>
  </si>
  <si>
    <t>69 (51-82)</t>
  </si>
  <si>
    <t>75 (59-86)</t>
  </si>
  <si>
    <t>67 (49-81)</t>
  </si>
  <si>
    <t>60 (43-76)</t>
  </si>
  <si>
    <t>50 (33-68)</t>
  </si>
  <si>
    <t>41 (25-60)</t>
  </si>
  <si>
    <t>35 (21-51)</t>
  </si>
  <si>
    <t>35 (20-53)</t>
  </si>
  <si>
    <t>24 (13-41)</t>
  </si>
  <si>
    <t>32 (19-47)</t>
  </si>
  <si>
    <t>38 (23-56)</t>
  </si>
  <si>
    <t>50 (34-66)</t>
  </si>
  <si>
    <t>54 (36-71)</t>
  </si>
  <si>
    <t>58 (40-74)</t>
  </si>
  <si>
    <t>64 (47-79)</t>
  </si>
  <si>
    <t>53 (36-71)</t>
  </si>
  <si>
    <t>40 (25-58)</t>
  </si>
  <si>
    <t>34 (19-52)</t>
  </si>
  <si>
    <t>29 (16-44)</t>
  </si>
  <si>
    <t>19 (9-34)</t>
  </si>
  <si>
    <t>18 (9-33)</t>
  </si>
  <si>
    <t>11 (6-21)</t>
  </si>
  <si>
    <t>31 (18-48)</t>
  </si>
  <si>
    <t>34 (20-52)</t>
  </si>
  <si>
    <t>45 (28-62)</t>
  </si>
  <si>
    <t>44 (27-62)</t>
  </si>
  <si>
    <t>41 (25-59)</t>
  </si>
  <si>
    <t>29 (17-46)</t>
  </si>
  <si>
    <t>31 (16-50)</t>
  </si>
  <si>
    <t>22 (12-37)</t>
  </si>
  <si>
    <t>17 (8-31)</t>
  </si>
  <si>
    <t>30 (16-48)</t>
  </si>
  <si>
    <t>38 (22-58)</t>
  </si>
  <si>
    <t>39 (23-57)</t>
  </si>
  <si>
    <t>49 (31-67)</t>
  </si>
  <si>
    <t>21 (12-37)</t>
  </si>
  <si>
    <t>26 (14-42)</t>
  </si>
  <si>
    <t>21 (11-36)</t>
  </si>
  <si>
    <t>12 (6-23)</t>
  </si>
  <si>
    <t>23 (13-39)</t>
  </si>
  <si>
    <t>13 (6-26)</t>
  </si>
  <si>
    <t>32 (18-51)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</si>
</sst>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3" xfId="0" applyFont="1" applyFill="1" applyBorder="1"/>
    <xf numFmtId="0" fontId="3" fillId="4" borderId="4" xfId="0" quotePrefix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17" fontId="3" fillId="4" borderId="4" xfId="0" quotePrefix="1" applyNumberFormat="1" applyFont="1" applyFill="1" applyBorder="1" applyAlignment="1">
      <alignment horizontal="left" vertical="center"/>
    </xf>
    <xf numFmtId="164" fontId="0" fillId="0" borderId="0" xfId="1" applyNumberFormat="1" applyFont="1"/>
    <xf numFmtId="164" fontId="0" fillId="0" borderId="0" xfId="0" applyNumberFormat="1"/>
    <xf numFmtId="1" fontId="0" fillId="3" borderId="1" xfId="1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/>
    </xf>
    <xf numFmtId="0" fontId="4" fillId="0" borderId="0" xfId="0" applyFont="1"/>
    <xf numFmtId="164" fontId="2" fillId="5" borderId="3" xfId="0" applyNumberFormat="1" applyFont="1" applyFill="1" applyBorder="1"/>
    <xf numFmtId="0" fontId="3" fillId="4" borderId="0" xfId="0" applyFont="1" applyFill="1" applyAlignment="1">
      <alignment horizontal="left" vertical="center"/>
    </xf>
    <xf numFmtId="0" fontId="2" fillId="5" borderId="0" xfId="0" applyFont="1" applyFill="1"/>
    <xf numFmtId="0" fontId="2" fillId="0" borderId="0" xfId="0" applyFont="1"/>
    <xf numFmtId="0" fontId="2" fillId="6" borderId="2" xfId="0" applyFont="1" applyFill="1" applyBorder="1"/>
    <xf numFmtId="1" fontId="0" fillId="3" borderId="1" xfId="1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 cent" xfId="1" builtinId="5"/>
  </cellStyles>
  <dxfs count="3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/>
  <dimension ref="A1:D88"/>
  <sheetViews>
    <sheetView workbookViewId="0"/>
  </sheetViews>
  <sheetFormatPr baseColWidth="10" defaultColWidth="8.83203125" defaultRowHeight="17.25" customHeight="1" x14ac:dyDescent="0.2"/>
  <cols>
    <col min="1" max="1" width="40.5" style="20" customWidth="1"/>
    <col min="2" max="2" width="9" customWidth="1"/>
    <col min="3" max="3" width="14.33203125" customWidth="1"/>
  </cols>
  <sheetData>
    <row r="1" spans="1:4" ht="60" customHeight="1" x14ac:dyDescent="0.2">
      <c r="A1" s="1" t="s">
        <v>21</v>
      </c>
      <c r="B1" s="2" t="s">
        <v>19</v>
      </c>
      <c r="C1" s="2" t="s">
        <v>111</v>
      </c>
      <c r="D1" s="11" t="s">
        <v>112</v>
      </c>
    </row>
    <row r="2" spans="1:4" ht="17.25" customHeight="1" x14ac:dyDescent="0.2">
      <c r="A2" s="19" t="s">
        <v>23</v>
      </c>
      <c r="B2" s="10">
        <v>1</v>
      </c>
      <c r="C2" s="22" t="s">
        <v>118</v>
      </c>
      <c r="D2" s="10">
        <v>129</v>
      </c>
    </row>
    <row r="3" spans="1:4" ht="17.25" customHeight="1" x14ac:dyDescent="0.2">
      <c r="A3" s="19" t="s">
        <v>22</v>
      </c>
      <c r="B3" s="10">
        <v>2</v>
      </c>
      <c r="C3" s="22" t="s">
        <v>119</v>
      </c>
      <c r="D3" s="10">
        <v>670</v>
      </c>
    </row>
    <row r="4" spans="1:4" ht="17.25" customHeight="1" x14ac:dyDescent="0.2">
      <c r="A4" s="19" t="s">
        <v>25</v>
      </c>
      <c r="B4" s="10">
        <v>3</v>
      </c>
      <c r="C4" s="22" t="s">
        <v>120</v>
      </c>
      <c r="D4" s="10">
        <v>82</v>
      </c>
    </row>
    <row r="5" spans="1:4" ht="17.25" customHeight="1" x14ac:dyDescent="0.2">
      <c r="A5" s="19" t="s">
        <v>24</v>
      </c>
      <c r="B5" s="10">
        <v>4</v>
      </c>
      <c r="C5" s="22" t="s">
        <v>121</v>
      </c>
      <c r="D5" s="10">
        <v>254</v>
      </c>
    </row>
    <row r="6" spans="1:4" ht="17.25" customHeight="1" x14ac:dyDescent="0.2">
      <c r="A6" s="19" t="s">
        <v>26</v>
      </c>
      <c r="B6" s="10">
        <v>5</v>
      </c>
      <c r="C6" s="22" t="s">
        <v>122</v>
      </c>
      <c r="D6" s="10">
        <v>126</v>
      </c>
    </row>
    <row r="7" spans="1:4" ht="17.25" customHeight="1" x14ac:dyDescent="0.2">
      <c r="A7" s="19" t="s">
        <v>27</v>
      </c>
      <c r="B7" s="10">
        <v>6</v>
      </c>
      <c r="C7" s="22" t="s">
        <v>123</v>
      </c>
      <c r="D7" s="10">
        <v>34</v>
      </c>
    </row>
    <row r="8" spans="1:4" ht="17.25" customHeight="1" x14ac:dyDescent="0.2">
      <c r="A8" s="19" t="s">
        <v>28</v>
      </c>
      <c r="B8" s="10">
        <v>7</v>
      </c>
      <c r="C8" s="22" t="s">
        <v>123</v>
      </c>
      <c r="D8" s="10">
        <v>32</v>
      </c>
    </row>
    <row r="9" spans="1:4" ht="17.25" customHeight="1" x14ac:dyDescent="0.2">
      <c r="A9" s="19" t="s">
        <v>29</v>
      </c>
      <c r="B9" s="10">
        <v>8</v>
      </c>
      <c r="C9" s="22" t="s">
        <v>124</v>
      </c>
      <c r="D9" s="10">
        <v>73</v>
      </c>
    </row>
    <row r="10" spans="1:4" ht="17.25" customHeight="1" x14ac:dyDescent="0.2">
      <c r="A10" s="19" t="s">
        <v>30</v>
      </c>
      <c r="B10" s="10">
        <v>9</v>
      </c>
      <c r="C10" s="22" t="s">
        <v>125</v>
      </c>
      <c r="D10" s="10">
        <v>432</v>
      </c>
    </row>
    <row r="11" spans="1:4" ht="17.25" customHeight="1" x14ac:dyDescent="0.2">
      <c r="A11" s="19" t="s">
        <v>31</v>
      </c>
      <c r="B11" s="10">
        <v>10</v>
      </c>
      <c r="C11" s="22" t="s">
        <v>126</v>
      </c>
      <c r="D11" s="10">
        <v>14</v>
      </c>
    </row>
    <row r="12" spans="1:4" ht="17.25" customHeight="1" x14ac:dyDescent="0.2">
      <c r="A12" s="19" t="s">
        <v>32</v>
      </c>
      <c r="B12" s="10">
        <v>11</v>
      </c>
      <c r="C12" s="22" t="s">
        <v>126</v>
      </c>
      <c r="D12" s="10">
        <v>10</v>
      </c>
    </row>
    <row r="13" spans="1:4" ht="17.25" customHeight="1" x14ac:dyDescent="0.2">
      <c r="A13" s="19" t="s">
        <v>33</v>
      </c>
      <c r="B13" s="10">
        <v>12</v>
      </c>
      <c r="C13" s="22" t="s">
        <v>127</v>
      </c>
      <c r="D13" s="10">
        <v>25</v>
      </c>
    </row>
    <row r="14" spans="1:4" ht="17.25" customHeight="1" x14ac:dyDescent="0.2">
      <c r="A14" s="19" t="s">
        <v>35</v>
      </c>
      <c r="B14" s="10">
        <v>13</v>
      </c>
      <c r="C14" s="22" t="s">
        <v>127</v>
      </c>
      <c r="D14" s="10">
        <v>20</v>
      </c>
    </row>
    <row r="15" spans="1:4" ht="17.25" customHeight="1" x14ac:dyDescent="0.2">
      <c r="A15" s="19" t="s">
        <v>37</v>
      </c>
      <c r="B15" s="10">
        <v>14</v>
      </c>
      <c r="C15" s="22" t="s">
        <v>125</v>
      </c>
      <c r="D15" s="10">
        <v>519</v>
      </c>
    </row>
    <row r="16" spans="1:4" ht="17.25" customHeight="1" x14ac:dyDescent="0.2">
      <c r="A16" s="19" t="s">
        <v>34</v>
      </c>
      <c r="B16" s="10">
        <v>15</v>
      </c>
      <c r="C16" s="22" t="s">
        <v>128</v>
      </c>
      <c r="D16" s="10">
        <v>95</v>
      </c>
    </row>
    <row r="17" spans="1:4" ht="17.25" customHeight="1" x14ac:dyDescent="0.2">
      <c r="A17" s="19" t="s">
        <v>36</v>
      </c>
      <c r="B17" s="10">
        <v>16</v>
      </c>
      <c r="C17" s="22" t="s">
        <v>129</v>
      </c>
      <c r="D17" s="10">
        <v>12</v>
      </c>
    </row>
    <row r="18" spans="1:4" ht="17.25" customHeight="1" x14ac:dyDescent="0.2">
      <c r="A18" s="19" t="s">
        <v>39</v>
      </c>
      <c r="B18" s="10">
        <v>17</v>
      </c>
      <c r="C18" s="22" t="s">
        <v>129</v>
      </c>
      <c r="D18" s="10">
        <v>12</v>
      </c>
    </row>
    <row r="19" spans="1:4" ht="17.25" customHeight="1" x14ac:dyDescent="0.2">
      <c r="A19" s="19" t="s">
        <v>41</v>
      </c>
      <c r="B19" s="10">
        <v>18</v>
      </c>
      <c r="C19" s="22" t="s">
        <v>129</v>
      </c>
      <c r="D19" s="10">
        <v>10</v>
      </c>
    </row>
    <row r="20" spans="1:4" ht="17.25" customHeight="1" x14ac:dyDescent="0.2">
      <c r="A20" s="19" t="s">
        <v>38</v>
      </c>
      <c r="B20" s="10">
        <v>19</v>
      </c>
      <c r="C20" s="22" t="s">
        <v>130</v>
      </c>
      <c r="D20" s="10">
        <v>84</v>
      </c>
    </row>
    <row r="21" spans="1:4" ht="17.25" customHeight="1" x14ac:dyDescent="0.2">
      <c r="A21" s="19" t="s">
        <v>40</v>
      </c>
      <c r="B21" s="10">
        <v>20</v>
      </c>
      <c r="C21" s="22" t="s">
        <v>127</v>
      </c>
      <c r="D21" s="10">
        <v>64</v>
      </c>
    </row>
    <row r="22" spans="1:4" ht="17.25" customHeight="1" x14ac:dyDescent="0.2">
      <c r="A22" s="19" t="s">
        <v>43</v>
      </c>
      <c r="B22" s="10">
        <v>21</v>
      </c>
      <c r="C22" s="22" t="s">
        <v>129</v>
      </c>
      <c r="D22" s="10">
        <v>12</v>
      </c>
    </row>
    <row r="23" spans="1:4" ht="17.25" customHeight="1" x14ac:dyDescent="0.2">
      <c r="A23" s="19" t="s">
        <v>44</v>
      </c>
      <c r="B23" s="10">
        <v>22</v>
      </c>
      <c r="C23" s="22" t="s">
        <v>129</v>
      </c>
      <c r="D23" s="10">
        <v>10</v>
      </c>
    </row>
    <row r="24" spans="1:4" ht="17.25" customHeight="1" x14ac:dyDescent="0.2">
      <c r="A24" s="19" t="s">
        <v>46</v>
      </c>
      <c r="B24" s="10">
        <v>23</v>
      </c>
      <c r="C24" s="22" t="s">
        <v>129</v>
      </c>
      <c r="D24" s="10">
        <v>12</v>
      </c>
    </row>
    <row r="25" spans="1:4" ht="17.25" customHeight="1" x14ac:dyDescent="0.2">
      <c r="A25" s="19" t="s">
        <v>48</v>
      </c>
      <c r="B25" s="10">
        <v>24</v>
      </c>
      <c r="C25" s="22" t="s">
        <v>129</v>
      </c>
      <c r="D25" s="10">
        <v>49</v>
      </c>
    </row>
    <row r="26" spans="1:4" ht="17.25" customHeight="1" x14ac:dyDescent="0.2">
      <c r="A26" s="19" t="s">
        <v>42</v>
      </c>
      <c r="B26" s="10">
        <v>25</v>
      </c>
      <c r="C26" s="22" t="s">
        <v>130</v>
      </c>
      <c r="D26" s="10">
        <v>109</v>
      </c>
    </row>
    <row r="27" spans="1:4" ht="17.25" customHeight="1" x14ac:dyDescent="0.2">
      <c r="A27" s="19" t="s">
        <v>47</v>
      </c>
      <c r="B27" s="10">
        <v>26</v>
      </c>
      <c r="C27" s="22" t="s">
        <v>129</v>
      </c>
      <c r="D27" s="10">
        <v>23</v>
      </c>
    </row>
    <row r="28" spans="1:4" ht="17.25" customHeight="1" x14ac:dyDescent="0.2">
      <c r="A28" s="19" t="s">
        <v>49</v>
      </c>
      <c r="B28" s="10">
        <v>27</v>
      </c>
      <c r="C28" s="22" t="s">
        <v>131</v>
      </c>
      <c r="D28" s="10">
        <v>19</v>
      </c>
    </row>
    <row r="29" spans="1:4" ht="17.25" customHeight="1" x14ac:dyDescent="0.2">
      <c r="A29" s="19" t="s">
        <v>45</v>
      </c>
      <c r="B29" s="10">
        <v>28</v>
      </c>
      <c r="C29" s="22" t="s">
        <v>132</v>
      </c>
      <c r="D29" s="10">
        <v>101</v>
      </c>
    </row>
    <row r="30" spans="1:4" ht="17.25" customHeight="1" x14ac:dyDescent="0.2">
      <c r="A30" s="19" t="s">
        <v>50</v>
      </c>
      <c r="B30" s="10">
        <v>29</v>
      </c>
      <c r="C30" s="22" t="s">
        <v>131</v>
      </c>
      <c r="D30" s="10">
        <v>13</v>
      </c>
    </row>
    <row r="31" spans="1:4" ht="17.25" customHeight="1" x14ac:dyDescent="0.2">
      <c r="A31" s="19" t="s">
        <v>51</v>
      </c>
      <c r="B31" s="10">
        <v>30</v>
      </c>
      <c r="C31" s="22" t="s">
        <v>133</v>
      </c>
      <c r="D31" s="10">
        <v>8</v>
      </c>
    </row>
    <row r="32" spans="1:4" ht="17.25" customHeight="1" x14ac:dyDescent="0.2">
      <c r="A32" s="19" t="s">
        <v>52</v>
      </c>
      <c r="B32" s="10">
        <v>31</v>
      </c>
      <c r="C32" s="22" t="s">
        <v>133</v>
      </c>
      <c r="D32" s="10">
        <v>27</v>
      </c>
    </row>
    <row r="33" spans="1:4" ht="17.25" customHeight="1" x14ac:dyDescent="0.2">
      <c r="A33" s="19" t="s">
        <v>53</v>
      </c>
      <c r="B33" s="10">
        <v>32</v>
      </c>
      <c r="C33" s="22" t="s">
        <v>133</v>
      </c>
      <c r="D33" s="10">
        <v>24</v>
      </c>
    </row>
    <row r="34" spans="1:4" ht="17.25" customHeight="1" x14ac:dyDescent="0.2">
      <c r="A34" s="19" t="s">
        <v>55</v>
      </c>
      <c r="B34" s="10">
        <v>33</v>
      </c>
      <c r="C34" s="22" t="s">
        <v>133</v>
      </c>
      <c r="D34" s="10">
        <v>14</v>
      </c>
    </row>
    <row r="35" spans="1:4" ht="17.25" customHeight="1" x14ac:dyDescent="0.2">
      <c r="A35" s="19" t="s">
        <v>56</v>
      </c>
      <c r="B35" s="10">
        <v>34</v>
      </c>
      <c r="C35" s="22" t="s">
        <v>133</v>
      </c>
      <c r="D35" s="10">
        <v>13</v>
      </c>
    </row>
    <row r="36" spans="1:4" ht="17.25" customHeight="1" x14ac:dyDescent="0.2">
      <c r="A36" s="19" t="s">
        <v>62</v>
      </c>
      <c r="B36" s="10">
        <v>35</v>
      </c>
      <c r="C36" s="22" t="s">
        <v>133</v>
      </c>
      <c r="D36" s="10">
        <v>15</v>
      </c>
    </row>
    <row r="37" spans="1:4" ht="17.25" customHeight="1" x14ac:dyDescent="0.2">
      <c r="A37" s="19" t="s">
        <v>58</v>
      </c>
      <c r="B37" s="10">
        <v>36</v>
      </c>
      <c r="C37" s="22" t="s">
        <v>133</v>
      </c>
      <c r="D37" s="10">
        <v>7</v>
      </c>
    </row>
    <row r="38" spans="1:4" ht="17.25" customHeight="1" x14ac:dyDescent="0.2">
      <c r="A38" s="19" t="s">
        <v>54</v>
      </c>
      <c r="B38" s="10">
        <v>37</v>
      </c>
      <c r="C38" s="22" t="s">
        <v>134</v>
      </c>
      <c r="D38" s="10">
        <v>99</v>
      </c>
    </row>
    <row r="39" spans="1:4" ht="17.25" customHeight="1" x14ac:dyDescent="0.2">
      <c r="A39" s="19" t="s">
        <v>59</v>
      </c>
      <c r="B39" s="10">
        <v>38</v>
      </c>
      <c r="C39" s="22" t="s">
        <v>133</v>
      </c>
      <c r="D39" s="10">
        <v>12</v>
      </c>
    </row>
    <row r="40" spans="1:4" ht="17.25" customHeight="1" x14ac:dyDescent="0.2">
      <c r="A40" s="19" t="s">
        <v>57</v>
      </c>
      <c r="B40" s="10">
        <v>39</v>
      </c>
      <c r="C40" s="22" t="s">
        <v>133</v>
      </c>
      <c r="D40" s="10">
        <v>10</v>
      </c>
    </row>
    <row r="41" spans="1:4" ht="17.25" customHeight="1" x14ac:dyDescent="0.2">
      <c r="A41" s="19" t="s">
        <v>60</v>
      </c>
      <c r="B41" s="10">
        <v>40</v>
      </c>
      <c r="C41" s="22" t="s">
        <v>133</v>
      </c>
      <c r="D41" s="10">
        <v>14</v>
      </c>
    </row>
    <row r="42" spans="1:4" ht="17.25" customHeight="1" x14ac:dyDescent="0.2">
      <c r="A42" s="19" t="s">
        <v>61</v>
      </c>
      <c r="B42" s="10">
        <v>41</v>
      </c>
      <c r="C42" s="22" t="s">
        <v>133</v>
      </c>
      <c r="D42" s="10">
        <v>10</v>
      </c>
    </row>
    <row r="43" spans="1:4" ht="17.25" customHeight="1" x14ac:dyDescent="0.2">
      <c r="A43" s="19" t="s">
        <v>63</v>
      </c>
      <c r="B43" s="10">
        <v>42</v>
      </c>
      <c r="C43" s="22" t="s">
        <v>135</v>
      </c>
      <c r="D43" s="10">
        <v>9</v>
      </c>
    </row>
    <row r="44" spans="1:4" ht="17.25" customHeight="1" x14ac:dyDescent="0.2">
      <c r="A44" s="19" t="s">
        <v>66</v>
      </c>
      <c r="B44" s="10">
        <v>43</v>
      </c>
      <c r="C44" s="22" t="s">
        <v>135</v>
      </c>
      <c r="D44" s="10">
        <v>13</v>
      </c>
    </row>
    <row r="45" spans="1:4" ht="17.25" customHeight="1" x14ac:dyDescent="0.2">
      <c r="A45" s="19" t="s">
        <v>64</v>
      </c>
      <c r="B45" s="10">
        <v>44</v>
      </c>
      <c r="C45" s="22" t="s">
        <v>133</v>
      </c>
      <c r="D45" s="10">
        <v>280</v>
      </c>
    </row>
    <row r="46" spans="1:4" ht="17.25" customHeight="1" x14ac:dyDescent="0.2">
      <c r="A46" s="19" t="s">
        <v>65</v>
      </c>
      <c r="B46" s="10">
        <v>45</v>
      </c>
      <c r="C46" s="22" t="s">
        <v>135</v>
      </c>
      <c r="D46" s="10">
        <v>11</v>
      </c>
    </row>
    <row r="47" spans="1:4" ht="17.25" customHeight="1" x14ac:dyDescent="0.2">
      <c r="A47" s="19" t="s">
        <v>69</v>
      </c>
      <c r="B47" s="10">
        <v>46</v>
      </c>
      <c r="C47" s="22" t="s">
        <v>135</v>
      </c>
      <c r="D47" s="10">
        <v>13</v>
      </c>
    </row>
    <row r="48" spans="1:4" ht="17.25" customHeight="1" x14ac:dyDescent="0.2">
      <c r="A48" s="19" t="s">
        <v>70</v>
      </c>
      <c r="B48" s="10">
        <v>47</v>
      </c>
      <c r="C48" s="22" t="s">
        <v>135</v>
      </c>
      <c r="D48" s="10">
        <v>12</v>
      </c>
    </row>
    <row r="49" spans="1:4" ht="17.25" customHeight="1" x14ac:dyDescent="0.2">
      <c r="A49" s="19" t="s">
        <v>68</v>
      </c>
      <c r="B49" s="10">
        <v>48</v>
      </c>
      <c r="C49" s="22" t="s">
        <v>135</v>
      </c>
      <c r="D49" s="10">
        <v>57</v>
      </c>
    </row>
    <row r="50" spans="1:4" ht="17.25" customHeight="1" x14ac:dyDescent="0.2">
      <c r="A50" s="19" t="s">
        <v>67</v>
      </c>
      <c r="B50" s="10">
        <v>49</v>
      </c>
      <c r="C50" s="22" t="s">
        <v>135</v>
      </c>
      <c r="D50" s="10">
        <v>44</v>
      </c>
    </row>
    <row r="51" spans="1:4" ht="17.25" customHeight="1" x14ac:dyDescent="0.2">
      <c r="A51" s="19" t="s">
        <v>75</v>
      </c>
      <c r="B51" s="10">
        <v>50</v>
      </c>
      <c r="C51" s="22" t="s">
        <v>135</v>
      </c>
      <c r="D51" s="10">
        <v>40</v>
      </c>
    </row>
    <row r="52" spans="1:4" ht="17.25" customHeight="1" x14ac:dyDescent="0.2">
      <c r="A52" s="19" t="s">
        <v>71</v>
      </c>
      <c r="B52" s="10">
        <v>51</v>
      </c>
      <c r="C52" s="22" t="s">
        <v>135</v>
      </c>
      <c r="D52" s="10">
        <v>18</v>
      </c>
    </row>
    <row r="53" spans="1:4" ht="17.25" customHeight="1" x14ac:dyDescent="0.2">
      <c r="A53" s="19" t="s">
        <v>73</v>
      </c>
      <c r="B53" s="10">
        <v>52</v>
      </c>
      <c r="C53" s="22" t="s">
        <v>136</v>
      </c>
      <c r="D53" s="10">
        <v>27</v>
      </c>
    </row>
    <row r="54" spans="1:4" ht="17.25" customHeight="1" x14ac:dyDescent="0.2">
      <c r="A54" s="19" t="s">
        <v>72</v>
      </c>
      <c r="B54" s="10">
        <v>53</v>
      </c>
      <c r="C54" s="22" t="s">
        <v>136</v>
      </c>
      <c r="D54" s="10">
        <v>17</v>
      </c>
    </row>
    <row r="55" spans="1:4" ht="17.25" customHeight="1" x14ac:dyDescent="0.2">
      <c r="A55" s="19" t="s">
        <v>74</v>
      </c>
      <c r="B55" s="10">
        <v>54</v>
      </c>
      <c r="C55" s="22" t="s">
        <v>137</v>
      </c>
      <c r="D55" s="10">
        <v>438</v>
      </c>
    </row>
    <row r="56" spans="1:4" ht="17.25" customHeight="1" x14ac:dyDescent="0.2">
      <c r="A56" s="19" t="s">
        <v>78</v>
      </c>
      <c r="B56" s="10">
        <v>55</v>
      </c>
      <c r="C56" s="22" t="s">
        <v>138</v>
      </c>
      <c r="D56" s="10">
        <v>92</v>
      </c>
    </row>
    <row r="57" spans="1:4" ht="17.25" customHeight="1" x14ac:dyDescent="0.2">
      <c r="A57" s="19" t="s">
        <v>77</v>
      </c>
      <c r="B57" s="10">
        <v>56</v>
      </c>
      <c r="C57" s="22" t="s">
        <v>139</v>
      </c>
      <c r="D57" s="10">
        <v>30</v>
      </c>
    </row>
    <row r="58" spans="1:4" ht="17.25" customHeight="1" x14ac:dyDescent="0.2">
      <c r="A58" s="19" t="s">
        <v>81</v>
      </c>
      <c r="B58" s="10">
        <v>57</v>
      </c>
      <c r="C58" s="22" t="s">
        <v>139</v>
      </c>
      <c r="D58" s="10">
        <v>19</v>
      </c>
    </row>
    <row r="59" spans="1:4" ht="17.25" customHeight="1" x14ac:dyDescent="0.2">
      <c r="A59" s="19" t="s">
        <v>79</v>
      </c>
      <c r="B59" s="10">
        <v>58</v>
      </c>
      <c r="C59" s="22" t="s">
        <v>139</v>
      </c>
      <c r="D59" s="10">
        <v>13</v>
      </c>
    </row>
    <row r="60" spans="1:4" ht="17.25" customHeight="1" x14ac:dyDescent="0.2">
      <c r="A60" s="19" t="s">
        <v>76</v>
      </c>
      <c r="B60" s="10">
        <v>59</v>
      </c>
      <c r="C60" s="22" t="s">
        <v>139</v>
      </c>
      <c r="D60" s="10">
        <v>16</v>
      </c>
    </row>
    <row r="61" spans="1:4" ht="17.25" customHeight="1" x14ac:dyDescent="0.2">
      <c r="A61" s="19" t="s">
        <v>87</v>
      </c>
      <c r="B61" s="10">
        <v>60</v>
      </c>
      <c r="C61" s="22" t="s">
        <v>139</v>
      </c>
      <c r="D61" s="10">
        <v>41</v>
      </c>
    </row>
    <row r="62" spans="1:4" ht="17.25" customHeight="1" x14ac:dyDescent="0.2">
      <c r="A62" s="19" t="s">
        <v>84</v>
      </c>
      <c r="B62" s="10">
        <v>61</v>
      </c>
      <c r="C62" s="22" t="s">
        <v>139</v>
      </c>
      <c r="D62" s="10">
        <v>5</v>
      </c>
    </row>
    <row r="63" spans="1:4" ht="17.25" customHeight="1" x14ac:dyDescent="0.2">
      <c r="A63" s="19" t="s">
        <v>80</v>
      </c>
      <c r="B63" s="10">
        <v>62</v>
      </c>
      <c r="C63" s="22" t="s">
        <v>140</v>
      </c>
      <c r="D63" s="10">
        <v>45</v>
      </c>
    </row>
    <row r="64" spans="1:4" ht="17.25" customHeight="1" x14ac:dyDescent="0.2">
      <c r="A64" s="19" t="s">
        <v>85</v>
      </c>
      <c r="B64" s="10">
        <v>63</v>
      </c>
      <c r="C64" s="22" t="s">
        <v>139</v>
      </c>
      <c r="D64" s="10">
        <v>22</v>
      </c>
    </row>
    <row r="65" spans="1:4" ht="17.25" customHeight="1" x14ac:dyDescent="0.2">
      <c r="A65" s="19" t="s">
        <v>83</v>
      </c>
      <c r="B65" s="10">
        <v>64</v>
      </c>
      <c r="C65" s="22" t="s">
        <v>139</v>
      </c>
      <c r="D65" s="10">
        <v>16</v>
      </c>
    </row>
    <row r="66" spans="1:4" ht="17.25" customHeight="1" x14ac:dyDescent="0.2">
      <c r="A66" s="19" t="s">
        <v>86</v>
      </c>
      <c r="B66" s="10">
        <v>65</v>
      </c>
      <c r="C66" s="22" t="s">
        <v>139</v>
      </c>
      <c r="D66" s="10">
        <v>10</v>
      </c>
    </row>
    <row r="67" spans="1:4" ht="17.25" customHeight="1" x14ac:dyDescent="0.2">
      <c r="A67" s="19" t="s">
        <v>82</v>
      </c>
      <c r="B67" s="10">
        <v>66</v>
      </c>
      <c r="C67" s="22" t="s">
        <v>141</v>
      </c>
      <c r="D67" s="10">
        <v>180</v>
      </c>
    </row>
    <row r="68" spans="1:4" ht="17.25" customHeight="1" x14ac:dyDescent="0.2">
      <c r="A68" s="19" t="s">
        <v>88</v>
      </c>
      <c r="B68" s="10">
        <v>67</v>
      </c>
      <c r="C68" s="22" t="s">
        <v>139</v>
      </c>
      <c r="D68" s="10">
        <v>33</v>
      </c>
    </row>
    <row r="69" spans="1:4" ht="17.25" customHeight="1" x14ac:dyDescent="0.2">
      <c r="A69" s="19" t="s">
        <v>90</v>
      </c>
      <c r="B69" s="10">
        <v>68</v>
      </c>
      <c r="C69" s="22" t="s">
        <v>139</v>
      </c>
      <c r="D69" s="10">
        <v>24</v>
      </c>
    </row>
    <row r="70" spans="1:4" ht="17.25" customHeight="1" x14ac:dyDescent="0.2">
      <c r="A70" s="19" t="s">
        <v>92</v>
      </c>
      <c r="B70" s="10">
        <v>69</v>
      </c>
      <c r="C70" s="22" t="s">
        <v>140</v>
      </c>
      <c r="D70" s="10">
        <v>54</v>
      </c>
    </row>
    <row r="71" spans="1:4" ht="17.25" customHeight="1" x14ac:dyDescent="0.2">
      <c r="A71" s="19" t="s">
        <v>89</v>
      </c>
      <c r="B71" s="10">
        <v>70</v>
      </c>
      <c r="C71" s="22" t="s">
        <v>139</v>
      </c>
      <c r="D71" s="10">
        <v>7</v>
      </c>
    </row>
    <row r="72" spans="1:4" ht="17.25" customHeight="1" x14ac:dyDescent="0.2">
      <c r="A72" s="19" t="s">
        <v>91</v>
      </c>
      <c r="B72" s="10">
        <v>71</v>
      </c>
      <c r="C72" s="22" t="s">
        <v>142</v>
      </c>
      <c r="D72" s="10">
        <v>126</v>
      </c>
    </row>
    <row r="73" spans="1:4" ht="17.25" customHeight="1" x14ac:dyDescent="0.2">
      <c r="A73" s="19" t="s">
        <v>93</v>
      </c>
      <c r="B73" s="10">
        <v>72</v>
      </c>
      <c r="C73" s="22" t="s">
        <v>139</v>
      </c>
      <c r="D73" s="10">
        <v>13</v>
      </c>
    </row>
    <row r="74" spans="1:4" ht="17.25" customHeight="1" x14ac:dyDescent="0.2">
      <c r="A74" s="19" t="s">
        <v>94</v>
      </c>
      <c r="B74" s="10">
        <v>73</v>
      </c>
      <c r="C74" s="22" t="s">
        <v>143</v>
      </c>
      <c r="D74" s="10">
        <v>312</v>
      </c>
    </row>
    <row r="75" spans="1:4" ht="17.25" customHeight="1" x14ac:dyDescent="0.2">
      <c r="A75" s="19" t="s">
        <v>96</v>
      </c>
      <c r="B75" s="10">
        <v>74</v>
      </c>
      <c r="C75" s="22" t="s">
        <v>144</v>
      </c>
      <c r="D75" s="10">
        <v>24</v>
      </c>
    </row>
    <row r="76" spans="1:4" ht="17.25" customHeight="1" x14ac:dyDescent="0.2">
      <c r="A76" s="19" t="s">
        <v>95</v>
      </c>
      <c r="B76" s="10">
        <v>75</v>
      </c>
      <c r="C76" s="22" t="s">
        <v>145</v>
      </c>
      <c r="D76" s="10">
        <v>14</v>
      </c>
    </row>
    <row r="77" spans="1:4" ht="17.25" customHeight="1" x14ac:dyDescent="0.2">
      <c r="A77" s="19" t="s">
        <v>101</v>
      </c>
      <c r="B77" s="10">
        <v>76</v>
      </c>
      <c r="C77" s="22" t="s">
        <v>146</v>
      </c>
      <c r="D77" s="10">
        <v>94</v>
      </c>
    </row>
    <row r="78" spans="1:4" ht="17.25" customHeight="1" x14ac:dyDescent="0.2">
      <c r="A78" s="19" t="s">
        <v>98</v>
      </c>
      <c r="B78" s="10">
        <v>77</v>
      </c>
      <c r="C78" s="22" t="s">
        <v>145</v>
      </c>
      <c r="D78" s="10">
        <v>13</v>
      </c>
    </row>
    <row r="79" spans="1:4" ht="17.25" customHeight="1" x14ac:dyDescent="0.2">
      <c r="A79" s="19" t="s">
        <v>99</v>
      </c>
      <c r="B79" s="10">
        <v>78</v>
      </c>
      <c r="C79" s="22" t="s">
        <v>144</v>
      </c>
      <c r="D79" s="10">
        <v>55</v>
      </c>
    </row>
    <row r="80" spans="1:4" ht="17.25" customHeight="1" x14ac:dyDescent="0.2">
      <c r="A80" s="19" t="s">
        <v>97</v>
      </c>
      <c r="B80" s="10">
        <v>79</v>
      </c>
      <c r="C80" s="22" t="s">
        <v>147</v>
      </c>
      <c r="D80" s="10">
        <v>261</v>
      </c>
    </row>
    <row r="81" spans="1:4" ht="17.25" customHeight="1" x14ac:dyDescent="0.2">
      <c r="A81" s="19" t="s">
        <v>100</v>
      </c>
      <c r="B81" s="10">
        <v>80</v>
      </c>
      <c r="C81" s="22" t="s">
        <v>146</v>
      </c>
      <c r="D81" s="10">
        <v>61</v>
      </c>
    </row>
    <row r="82" spans="1:4" ht="17.25" customHeight="1" x14ac:dyDescent="0.2">
      <c r="A82" s="19" t="s">
        <v>102</v>
      </c>
      <c r="B82" s="10">
        <v>81</v>
      </c>
      <c r="C82" s="22" t="s">
        <v>143</v>
      </c>
      <c r="D82" s="10">
        <v>272</v>
      </c>
    </row>
    <row r="83" spans="1:4" ht="17.25" customHeight="1" x14ac:dyDescent="0.2">
      <c r="A83" s="19" t="s">
        <v>103</v>
      </c>
      <c r="B83" s="10">
        <v>82</v>
      </c>
      <c r="C83" s="22" t="s">
        <v>148</v>
      </c>
      <c r="D83" s="10">
        <v>38</v>
      </c>
    </row>
    <row r="84" spans="1:4" ht="17.25" customHeight="1" x14ac:dyDescent="0.2">
      <c r="A84" s="19" t="s">
        <v>104</v>
      </c>
      <c r="B84" s="10">
        <v>83</v>
      </c>
      <c r="C84" s="22" t="s">
        <v>149</v>
      </c>
      <c r="D84" s="10">
        <v>70</v>
      </c>
    </row>
    <row r="85" spans="1:4" ht="17.25" customHeight="1" x14ac:dyDescent="0.2">
      <c r="A85" s="19" t="s">
        <v>105</v>
      </c>
      <c r="B85" s="10">
        <v>84</v>
      </c>
      <c r="C85" s="22" t="s">
        <v>150</v>
      </c>
      <c r="D85" s="10">
        <v>159</v>
      </c>
    </row>
    <row r="86" spans="1:4" ht="17.25" customHeight="1" x14ac:dyDescent="0.2">
      <c r="A86" s="19" t="s">
        <v>106</v>
      </c>
      <c r="B86" s="10">
        <v>85</v>
      </c>
      <c r="C86" s="22" t="s">
        <v>151</v>
      </c>
      <c r="D86" s="10">
        <v>47</v>
      </c>
    </row>
    <row r="87" spans="1:4" ht="17.25" customHeight="1" x14ac:dyDescent="0.2">
      <c r="A87" s="19" t="s">
        <v>107</v>
      </c>
      <c r="B87" s="10">
        <v>86</v>
      </c>
      <c r="C87" s="22" t="s">
        <v>152</v>
      </c>
      <c r="D87" s="10">
        <v>368</v>
      </c>
    </row>
    <row r="88" spans="1:4" ht="17.25" customHeight="1" x14ac:dyDescent="0.2">
      <c r="A88" s="19" t="s">
        <v>108</v>
      </c>
      <c r="B88" s="10">
        <v>87</v>
      </c>
      <c r="C88" s="22" t="s">
        <v>153</v>
      </c>
      <c r="D88" s="10">
        <v>236</v>
      </c>
    </row>
  </sheetData>
  <conditionalFormatting sqref="A1:B88">
    <cfRule type="expression" dxfId="2" priority="5">
      <formula>MOD(ROW(),2)=0</formula>
    </cfRule>
  </conditionalFormatting>
  <conditionalFormatting sqref="C1">
    <cfRule type="expression" dxfId="1" priority="3">
      <formula>MOD(ROW(),2)=0</formula>
    </cfRule>
  </conditionalFormatting>
  <conditionalFormatting sqref="D1:D88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P35"/>
  <sheetViews>
    <sheetView zoomScale="69" zoomScaleNormal="69" workbookViewId="0">
      <selection activeCell="B23" sqref="B23"/>
    </sheetView>
  </sheetViews>
  <sheetFormatPr baseColWidth="10" defaultColWidth="15.33203125" defaultRowHeight="15" x14ac:dyDescent="0.2"/>
  <cols>
    <col min="1" max="1" width="31.1640625" bestFit="1" customWidth="1"/>
    <col min="2" max="7" width="17.6640625" bestFit="1" customWidth="1"/>
    <col min="8" max="9" width="18.5" bestFit="1" customWidth="1"/>
    <col min="10" max="15" width="17.6640625" bestFit="1" customWidth="1"/>
  </cols>
  <sheetData>
    <row r="1" spans="1:16" ht="19" x14ac:dyDescent="0.25">
      <c r="A1" s="24" t="s">
        <v>113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">
      <c r="B2" s="23" t="s">
        <v>18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6" x14ac:dyDescent="0.2">
      <c r="A3" s="17" t="s">
        <v>0</v>
      </c>
      <c r="B3" s="5" t="s">
        <v>1</v>
      </c>
      <c r="C3" s="5" t="s">
        <v>13</v>
      </c>
      <c r="D3" s="5" t="s">
        <v>14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7" t="s">
        <v>11</v>
      </c>
      <c r="O3" s="5" t="s">
        <v>12</v>
      </c>
      <c r="P3" s="3" t="s">
        <v>15</v>
      </c>
    </row>
    <row r="4" spans="1:16" x14ac:dyDescent="0.2">
      <c r="A4" s="5" t="s">
        <v>1</v>
      </c>
      <c r="B4" s="8"/>
      <c r="C4" s="8"/>
      <c r="D4" s="8"/>
      <c r="E4" s="8"/>
      <c r="F4" s="8"/>
      <c r="G4" s="8"/>
      <c r="H4" s="8"/>
      <c r="I4" s="8"/>
      <c r="J4" s="8">
        <v>0.14773230905599055</v>
      </c>
      <c r="K4" s="8"/>
      <c r="L4" s="8"/>
      <c r="M4" s="8"/>
      <c r="N4" s="8"/>
      <c r="O4" s="8"/>
      <c r="P4" s="9">
        <f>SUM(B4:O4)</f>
        <v>0.14773230905599055</v>
      </c>
    </row>
    <row r="5" spans="1:16" x14ac:dyDescent="0.2">
      <c r="A5" s="5" t="s">
        <v>13</v>
      </c>
      <c r="B5" s="8"/>
      <c r="C5" s="8"/>
      <c r="D5" s="8">
        <v>0.14773230905599055</v>
      </c>
      <c r="E5" s="8"/>
      <c r="F5" s="8"/>
      <c r="G5" s="8">
        <v>0.59092923622396221</v>
      </c>
      <c r="H5" s="8">
        <v>13.000443196927169</v>
      </c>
      <c r="I5" s="8">
        <v>3.2501107992317921</v>
      </c>
      <c r="J5" s="8">
        <v>0.14773230905599055</v>
      </c>
      <c r="K5" s="8"/>
      <c r="L5" s="8">
        <v>0.2954646181119811</v>
      </c>
      <c r="M5" s="8">
        <v>0.14773230905599055</v>
      </c>
      <c r="N5" s="8"/>
      <c r="O5" s="8">
        <v>0.14773230905599055</v>
      </c>
      <c r="P5" s="9">
        <f t="shared" ref="P5:P16" si="0">SUM(B5:O5)</f>
        <v>17.727877086718863</v>
      </c>
    </row>
    <row r="6" spans="1:16" x14ac:dyDescent="0.2">
      <c r="A6" s="5" t="s">
        <v>14</v>
      </c>
      <c r="B6" s="8"/>
      <c r="C6" s="8">
        <v>0.14773230905599055</v>
      </c>
      <c r="D6" s="8">
        <v>0.14773230905599055</v>
      </c>
      <c r="E6" s="8"/>
      <c r="F6" s="8">
        <v>1.4773230905599055</v>
      </c>
      <c r="G6" s="8">
        <v>12.114049342591224</v>
      </c>
      <c r="H6" s="8">
        <v>64.411286748411882</v>
      </c>
      <c r="I6" s="8">
        <v>18.171074013886837</v>
      </c>
      <c r="J6" s="8">
        <v>5.1706308169596689</v>
      </c>
      <c r="K6" s="8">
        <v>0.2954646181119811</v>
      </c>
      <c r="L6" s="8"/>
      <c r="M6" s="8">
        <v>0.2954646181119811</v>
      </c>
      <c r="N6" s="8"/>
      <c r="O6" s="8"/>
      <c r="P6" s="9">
        <f t="shared" si="0"/>
        <v>102.23075786674546</v>
      </c>
    </row>
    <row r="7" spans="1:16" x14ac:dyDescent="0.2">
      <c r="A7" s="5" t="s">
        <v>2</v>
      </c>
      <c r="B7" s="8">
        <v>0.14773230905599055</v>
      </c>
      <c r="C7" s="8">
        <v>0.14773230905599055</v>
      </c>
      <c r="D7" s="8">
        <v>0.59092923622396221</v>
      </c>
      <c r="E7" s="8">
        <v>6.2047569803516032</v>
      </c>
      <c r="F7" s="8">
        <v>13.148175505983158</v>
      </c>
      <c r="G7" s="8">
        <v>17.136947850494902</v>
      </c>
      <c r="H7" s="8">
        <v>17.284680159550895</v>
      </c>
      <c r="I7" s="8">
        <v>12.557246269759196</v>
      </c>
      <c r="J7" s="8">
        <v>14.477766287487073</v>
      </c>
      <c r="K7" s="8">
        <v>12.261781651647215</v>
      </c>
      <c r="L7" s="8">
        <v>2.3637169448958488</v>
      </c>
      <c r="M7" s="8">
        <v>0.14773230905599055</v>
      </c>
      <c r="N7" s="8">
        <v>0.14773230905599055</v>
      </c>
      <c r="O7" s="8">
        <v>0.14773230905599055</v>
      </c>
      <c r="P7" s="9">
        <f t="shared" si="0"/>
        <v>96.764662431673813</v>
      </c>
    </row>
    <row r="8" spans="1:16" x14ac:dyDescent="0.2">
      <c r="A8" s="5" t="s">
        <v>3</v>
      </c>
      <c r="B8" s="8">
        <v>21.125720195006647</v>
      </c>
      <c r="C8" s="8">
        <v>14.330033978431082</v>
      </c>
      <c r="D8" s="8">
        <v>29.398729502142118</v>
      </c>
      <c r="E8" s="8">
        <v>23.046240212734524</v>
      </c>
      <c r="F8" s="8">
        <v>10.784458561087309</v>
      </c>
      <c r="G8" s="8">
        <v>5.613827744127641</v>
      </c>
      <c r="H8" s="8">
        <v>8.5684739252474511</v>
      </c>
      <c r="I8" s="8">
        <v>6.7956862165755654</v>
      </c>
      <c r="J8" s="8">
        <v>9.1594031614714133</v>
      </c>
      <c r="K8" s="8">
        <v>15.511892450879007</v>
      </c>
      <c r="L8" s="8">
        <v>32.205643374205941</v>
      </c>
      <c r="M8" s="8">
        <v>16.25055399615896</v>
      </c>
      <c r="N8" s="8">
        <v>15.068695523711035</v>
      </c>
      <c r="O8" s="8">
        <v>10.193529324863347</v>
      </c>
      <c r="P8" s="9">
        <f t="shared" si="0"/>
        <v>218.05288816664202</v>
      </c>
    </row>
    <row r="9" spans="1:16" x14ac:dyDescent="0.2">
      <c r="A9" s="5" t="s">
        <v>4</v>
      </c>
      <c r="B9" s="8">
        <v>59.536120549564188</v>
      </c>
      <c r="C9" s="8">
        <v>31.466981828925984</v>
      </c>
      <c r="D9" s="8">
        <v>31.614714137981977</v>
      </c>
      <c r="E9" s="8">
        <v>10.045797015807358</v>
      </c>
      <c r="F9" s="8">
        <v>5.1706308169596689</v>
      </c>
      <c r="G9" s="8">
        <v>4.5797015807357067</v>
      </c>
      <c r="H9" s="8">
        <v>8.5684739252474511</v>
      </c>
      <c r="I9" s="8">
        <v>5.3183631260156599</v>
      </c>
      <c r="J9" s="8">
        <v>4.8751661988476878</v>
      </c>
      <c r="K9" s="8">
        <v>7.6820800709115087</v>
      </c>
      <c r="L9" s="8">
        <v>21.421184813118629</v>
      </c>
      <c r="M9" s="8">
        <v>22.455310976510564</v>
      </c>
      <c r="N9" s="8">
        <v>32.057911065149945</v>
      </c>
      <c r="O9" s="8">
        <v>26.88728024819028</v>
      </c>
      <c r="P9" s="9">
        <f t="shared" si="0"/>
        <v>271.67971635396657</v>
      </c>
    </row>
    <row r="10" spans="1:16" x14ac:dyDescent="0.2">
      <c r="A10" s="5" t="s">
        <v>5</v>
      </c>
      <c r="B10" s="8">
        <v>5.1706308169596689</v>
      </c>
      <c r="C10" s="8">
        <v>5.613827744127641</v>
      </c>
      <c r="D10" s="8">
        <v>7.8298123799674988</v>
      </c>
      <c r="E10" s="8">
        <v>5.1706308169596689</v>
      </c>
      <c r="F10" s="8">
        <v>5.46609543507165</v>
      </c>
      <c r="G10" s="8">
        <v>5.613827744127641</v>
      </c>
      <c r="H10" s="8">
        <v>6.2047569803516032</v>
      </c>
      <c r="I10" s="8">
        <v>5.613827744127641</v>
      </c>
      <c r="J10" s="8">
        <v>5.3183631260156599</v>
      </c>
      <c r="K10" s="8">
        <v>4.8751661988476878</v>
      </c>
      <c r="L10" s="8">
        <v>7.5343477618555177</v>
      </c>
      <c r="M10" s="8">
        <v>3.8410400354557543</v>
      </c>
      <c r="N10" s="8">
        <v>5.1706308169596689</v>
      </c>
      <c r="O10" s="8">
        <v>2.954646181119811</v>
      </c>
      <c r="P10" s="9">
        <f t="shared" si="0"/>
        <v>76.377603781947116</v>
      </c>
    </row>
    <row r="11" spans="1:16" x14ac:dyDescent="0.2">
      <c r="A11" s="5" t="s">
        <v>6</v>
      </c>
      <c r="B11" s="8">
        <v>2.2159846358398583</v>
      </c>
      <c r="C11" s="8">
        <v>5.3183631260156599</v>
      </c>
      <c r="D11" s="8">
        <v>5.613827744127641</v>
      </c>
      <c r="E11" s="8">
        <v>4.7274338897916977</v>
      </c>
      <c r="F11" s="8">
        <v>5.613827744127641</v>
      </c>
      <c r="G11" s="8">
        <v>6.2047569803516032</v>
      </c>
      <c r="H11" s="8">
        <v>8.5684739252474511</v>
      </c>
      <c r="I11" s="8">
        <v>4.7274338897916977</v>
      </c>
      <c r="J11" s="8">
        <v>5.1706308169596689</v>
      </c>
      <c r="K11" s="8">
        <v>4.8751661988476878</v>
      </c>
      <c r="L11" s="8">
        <v>6.9434185256315555</v>
      </c>
      <c r="M11" s="8">
        <v>4.7274338897916977</v>
      </c>
      <c r="N11" s="8">
        <v>3.8410400354557543</v>
      </c>
      <c r="O11" s="8">
        <v>0.59092923622396221</v>
      </c>
      <c r="P11" s="9">
        <f t="shared" si="0"/>
        <v>69.138720638203566</v>
      </c>
    </row>
    <row r="12" spans="1:16" x14ac:dyDescent="0.2">
      <c r="A12" s="5" t="s">
        <v>7</v>
      </c>
      <c r="B12" s="8">
        <v>1.329590781503915</v>
      </c>
      <c r="C12" s="8">
        <v>3.2501107992317921</v>
      </c>
      <c r="D12" s="8">
        <v>8.5684739252474511</v>
      </c>
      <c r="E12" s="8">
        <v>7.9775446890234898</v>
      </c>
      <c r="F12" s="8">
        <v>4.4319692716797165</v>
      </c>
      <c r="G12" s="8">
        <v>4.8751661988476878</v>
      </c>
      <c r="H12" s="8">
        <v>7.6820800709115087</v>
      </c>
      <c r="I12" s="8">
        <v>7.9775446890234898</v>
      </c>
      <c r="J12" s="8">
        <v>5.0228985079036788</v>
      </c>
      <c r="K12" s="8">
        <v>5.3183631260156599</v>
      </c>
      <c r="L12" s="8">
        <v>7.3866154527995276</v>
      </c>
      <c r="M12" s="8">
        <v>4.4319692716797165</v>
      </c>
      <c r="N12" s="8">
        <v>2.8069138720638205</v>
      </c>
      <c r="O12" s="8">
        <v>0.2954646181119811</v>
      </c>
      <c r="P12" s="9">
        <f t="shared" si="0"/>
        <v>71.354705274043425</v>
      </c>
    </row>
    <row r="13" spans="1:16" x14ac:dyDescent="0.2">
      <c r="A13" s="5" t="s">
        <v>8</v>
      </c>
      <c r="B13" s="8">
        <v>0.59092923622396221</v>
      </c>
      <c r="C13" s="8">
        <v>1.6250553996158961</v>
      </c>
      <c r="D13" s="8">
        <v>4.8751661988476878</v>
      </c>
      <c r="E13" s="8">
        <v>3.5455754173437732</v>
      </c>
      <c r="F13" s="8">
        <v>3.6933077263997638</v>
      </c>
      <c r="G13" s="8">
        <v>4.5797015807357067</v>
      </c>
      <c r="H13" s="8">
        <v>7.2388831437435366</v>
      </c>
      <c r="I13" s="8">
        <v>5.613827744127641</v>
      </c>
      <c r="J13" s="8">
        <v>4.8751661988476878</v>
      </c>
      <c r="K13" s="8">
        <v>2.954646181119811</v>
      </c>
      <c r="L13" s="8">
        <v>5.9092923622396221</v>
      </c>
      <c r="M13" s="8">
        <v>2.8069138720638205</v>
      </c>
      <c r="N13" s="8">
        <v>1.1818584724479244</v>
      </c>
      <c r="O13" s="8">
        <v>0.14773230905599055</v>
      </c>
      <c r="P13" s="9">
        <f t="shared" si="0"/>
        <v>49.638055842812825</v>
      </c>
    </row>
    <row r="14" spans="1:16" x14ac:dyDescent="0.2">
      <c r="A14" s="5" t="s">
        <v>9</v>
      </c>
      <c r="B14" s="8">
        <v>0.2954646181119811</v>
      </c>
      <c r="C14" s="8">
        <v>0.2954646181119811</v>
      </c>
      <c r="D14" s="8">
        <v>2.0682523267838677</v>
      </c>
      <c r="E14" s="8">
        <v>1.4773230905599055</v>
      </c>
      <c r="F14" s="8">
        <v>1.7727877086718866</v>
      </c>
      <c r="G14" s="8">
        <v>2.0682523267838677</v>
      </c>
      <c r="H14" s="8">
        <v>5.46609543507165</v>
      </c>
      <c r="I14" s="8">
        <v>2.954646181119811</v>
      </c>
      <c r="J14" s="8">
        <v>2.2159846358398583</v>
      </c>
      <c r="K14" s="8">
        <v>1.329590781503915</v>
      </c>
      <c r="L14" s="8">
        <v>1.0341261633919339</v>
      </c>
      <c r="M14" s="8">
        <v>0.59092923622396221</v>
      </c>
      <c r="N14" s="8">
        <v>0.88639385433594331</v>
      </c>
      <c r="O14" s="8"/>
      <c r="P14" s="9">
        <f t="shared" si="0"/>
        <v>22.455310976510567</v>
      </c>
    </row>
    <row r="15" spans="1:16" x14ac:dyDescent="0.2">
      <c r="A15" s="5" t="s">
        <v>10</v>
      </c>
      <c r="B15" s="8"/>
      <c r="C15" s="8"/>
      <c r="D15" s="8">
        <v>0.14773230905599055</v>
      </c>
      <c r="E15" s="8">
        <v>0.2954646181119811</v>
      </c>
      <c r="F15" s="8">
        <v>0.44319692716797165</v>
      </c>
      <c r="G15" s="8">
        <v>0.2954646181119811</v>
      </c>
      <c r="H15" s="8">
        <v>1.0341261633919339</v>
      </c>
      <c r="I15" s="8">
        <v>0.59092923622396221</v>
      </c>
      <c r="J15" s="8">
        <v>0.14773230905599055</v>
      </c>
      <c r="K15" s="8">
        <v>0.2954646181119811</v>
      </c>
      <c r="L15" s="8">
        <v>0.2954646181119811</v>
      </c>
      <c r="M15" s="8"/>
      <c r="N15" s="8">
        <v>0.14773230905599055</v>
      </c>
      <c r="O15" s="8"/>
      <c r="P15" s="9">
        <f t="shared" si="0"/>
        <v>3.6933077263997638</v>
      </c>
    </row>
    <row r="16" spans="1:16" x14ac:dyDescent="0.2">
      <c r="A16" s="5" t="s">
        <v>11</v>
      </c>
      <c r="B16" s="8"/>
      <c r="C16" s="8"/>
      <c r="D16" s="8">
        <v>0.14773230905599055</v>
      </c>
      <c r="E16" s="8"/>
      <c r="F16" s="8">
        <v>0.2954646181119811</v>
      </c>
      <c r="G16" s="8"/>
      <c r="H16" s="8"/>
      <c r="I16" s="8">
        <v>0.14773230905599055</v>
      </c>
      <c r="J16" s="8"/>
      <c r="K16" s="8">
        <v>0.14773230905599055</v>
      </c>
      <c r="L16" s="8"/>
      <c r="M16" s="8"/>
      <c r="N16" s="8"/>
      <c r="O16" s="8"/>
      <c r="P16" s="9">
        <f t="shared" si="0"/>
        <v>0.73866154527995276</v>
      </c>
    </row>
    <row r="17" spans="1:16" x14ac:dyDescent="0.2">
      <c r="A17" s="4" t="s">
        <v>15</v>
      </c>
      <c r="B17" s="14">
        <f>SUM(B4:B16)</f>
        <v>90.412173142266198</v>
      </c>
      <c r="C17" s="14">
        <f t="shared" ref="C17:O17" si="1">SUM(C4:C16)</f>
        <v>62.195302112572016</v>
      </c>
      <c r="D17" s="14">
        <f t="shared" si="1"/>
        <v>91.15083468754618</v>
      </c>
      <c r="E17" s="14">
        <f t="shared" si="1"/>
        <v>62.490766730684001</v>
      </c>
      <c r="F17" s="14">
        <f t="shared" si="1"/>
        <v>52.297237405820653</v>
      </c>
      <c r="G17" s="14">
        <f t="shared" si="1"/>
        <v>63.672625203131929</v>
      </c>
      <c r="H17" s="14">
        <f t="shared" si="1"/>
        <v>148.02777367410252</v>
      </c>
      <c r="I17" s="14">
        <f t="shared" si="1"/>
        <v>73.718422218939295</v>
      </c>
      <c r="J17" s="14">
        <f t="shared" si="1"/>
        <v>56.729206677500372</v>
      </c>
      <c r="K17" s="14">
        <f t="shared" si="1"/>
        <v>55.547348205052444</v>
      </c>
      <c r="L17" s="14">
        <f t="shared" si="1"/>
        <v>85.389274634362536</v>
      </c>
      <c r="M17" s="14">
        <f t="shared" si="1"/>
        <v>55.695080514108447</v>
      </c>
      <c r="N17" s="14">
        <f t="shared" si="1"/>
        <v>61.308908258236073</v>
      </c>
      <c r="O17" s="14">
        <f t="shared" si="1"/>
        <v>41.365046535677351</v>
      </c>
      <c r="P17" s="14">
        <f>SUM(P4:P16)</f>
        <v>999.99999999999989</v>
      </c>
    </row>
    <row r="20" spans="1:16" ht="19" x14ac:dyDescent="0.25">
      <c r="A20" s="24" t="s">
        <v>114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x14ac:dyDescent="0.2">
      <c r="B21" s="23" t="s">
        <v>16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6" x14ac:dyDescent="0.2">
      <c r="A22" s="17" t="s">
        <v>0</v>
      </c>
      <c r="B22" s="5" t="s">
        <v>1</v>
      </c>
      <c r="C22" s="5" t="s">
        <v>13</v>
      </c>
      <c r="D22" s="5" t="s">
        <v>14</v>
      </c>
      <c r="E22" s="5" t="s">
        <v>2</v>
      </c>
      <c r="F22" s="5" t="s">
        <v>3</v>
      </c>
      <c r="G22" s="5" t="s">
        <v>4</v>
      </c>
      <c r="H22" s="5" t="s">
        <v>5</v>
      </c>
      <c r="I22" s="6" t="s">
        <v>6</v>
      </c>
      <c r="J22" s="5" t="s">
        <v>7</v>
      </c>
      <c r="K22" s="5" t="s">
        <v>8</v>
      </c>
      <c r="L22" s="5" t="s">
        <v>9</v>
      </c>
      <c r="M22" s="5" t="s">
        <v>10</v>
      </c>
      <c r="N22" s="7" t="s">
        <v>11</v>
      </c>
      <c r="O22" s="5" t="s">
        <v>12</v>
      </c>
    </row>
    <row r="23" spans="1:16" ht="16" x14ac:dyDescent="0.2">
      <c r="A23" s="5" t="s">
        <v>1</v>
      </c>
      <c r="H23" s="21" t="s">
        <v>154</v>
      </c>
      <c r="I23" s="21" t="s">
        <v>154</v>
      </c>
      <c r="J23" s="21" t="s">
        <v>155</v>
      </c>
    </row>
    <row r="24" spans="1:16" ht="16" x14ac:dyDescent="0.2">
      <c r="A24" s="5" t="s">
        <v>13</v>
      </c>
      <c r="D24" s="21" t="s">
        <v>156</v>
      </c>
      <c r="G24" s="21" t="s">
        <v>157</v>
      </c>
      <c r="H24" s="21" t="s">
        <v>154</v>
      </c>
      <c r="I24" s="21" t="s">
        <v>154</v>
      </c>
      <c r="J24" s="21" t="s">
        <v>158</v>
      </c>
      <c r="L24" s="21" t="s">
        <v>159</v>
      </c>
      <c r="M24" s="21" t="s">
        <v>160</v>
      </c>
      <c r="O24" s="21" t="s">
        <v>161</v>
      </c>
    </row>
    <row r="25" spans="1:16" ht="16" x14ac:dyDescent="0.2">
      <c r="A25" s="5" t="s">
        <v>14</v>
      </c>
      <c r="C25" s="21" t="s">
        <v>162</v>
      </c>
      <c r="D25" s="21" t="s">
        <v>163</v>
      </c>
      <c r="F25" s="21" t="s">
        <v>164</v>
      </c>
      <c r="G25" s="21" t="s">
        <v>157</v>
      </c>
      <c r="H25" s="21" t="s">
        <v>165</v>
      </c>
      <c r="I25" s="21" t="s">
        <v>166</v>
      </c>
      <c r="J25" s="21" t="s">
        <v>167</v>
      </c>
      <c r="K25" s="21" t="s">
        <v>168</v>
      </c>
      <c r="L25" s="21" t="s">
        <v>169</v>
      </c>
      <c r="M25" s="21" t="s">
        <v>170</v>
      </c>
    </row>
    <row r="26" spans="1:16" ht="16" x14ac:dyDescent="0.2">
      <c r="A26" s="5" t="s">
        <v>2</v>
      </c>
      <c r="C26" s="21" t="s">
        <v>162</v>
      </c>
      <c r="D26" s="21" t="s">
        <v>171</v>
      </c>
      <c r="E26" s="21" t="s">
        <v>172</v>
      </c>
      <c r="F26" s="21" t="s">
        <v>173</v>
      </c>
      <c r="G26" s="21" t="s">
        <v>174</v>
      </c>
      <c r="H26" s="21" t="s">
        <v>175</v>
      </c>
      <c r="I26" s="21" t="s">
        <v>176</v>
      </c>
      <c r="J26" s="21" t="s">
        <v>177</v>
      </c>
      <c r="K26" s="21" t="s">
        <v>178</v>
      </c>
      <c r="L26" s="21" t="s">
        <v>179</v>
      </c>
      <c r="M26" s="21" t="s">
        <v>180</v>
      </c>
      <c r="N26" s="21" t="s">
        <v>181</v>
      </c>
      <c r="O26" s="21" t="s">
        <v>182</v>
      </c>
    </row>
    <row r="27" spans="1:16" ht="16" x14ac:dyDescent="0.2">
      <c r="A27" s="5" t="s">
        <v>3</v>
      </c>
      <c r="B27" s="21" t="s">
        <v>183</v>
      </c>
      <c r="C27" s="21" t="s">
        <v>184</v>
      </c>
      <c r="D27" s="21" t="s">
        <v>185</v>
      </c>
      <c r="E27" s="21" t="s">
        <v>186</v>
      </c>
      <c r="F27" s="21" t="s">
        <v>187</v>
      </c>
      <c r="G27" s="21" t="s">
        <v>188</v>
      </c>
      <c r="H27" s="21" t="s">
        <v>158</v>
      </c>
      <c r="I27" s="21" t="s">
        <v>189</v>
      </c>
      <c r="J27" s="21" t="s">
        <v>190</v>
      </c>
      <c r="K27" s="21" t="s">
        <v>191</v>
      </c>
      <c r="L27" s="21" t="s">
        <v>192</v>
      </c>
      <c r="M27" s="21" t="s">
        <v>193</v>
      </c>
      <c r="N27" s="21" t="s">
        <v>194</v>
      </c>
      <c r="O27" s="21" t="s">
        <v>195</v>
      </c>
    </row>
    <row r="28" spans="1:16" ht="16" x14ac:dyDescent="0.2">
      <c r="A28" s="5" t="s">
        <v>4</v>
      </c>
      <c r="B28" s="21" t="s">
        <v>196</v>
      </c>
      <c r="C28" s="21" t="s">
        <v>197</v>
      </c>
      <c r="D28" s="21" t="s">
        <v>198</v>
      </c>
      <c r="E28" s="21" t="s">
        <v>199</v>
      </c>
      <c r="F28" s="21" t="s">
        <v>200</v>
      </c>
      <c r="G28" s="21" t="s">
        <v>201</v>
      </c>
      <c r="H28" s="21" t="s">
        <v>190</v>
      </c>
      <c r="I28" s="21" t="s">
        <v>164</v>
      </c>
      <c r="J28" s="21" t="s">
        <v>187</v>
      </c>
      <c r="K28" s="21" t="s">
        <v>179</v>
      </c>
      <c r="L28" s="21" t="s">
        <v>163</v>
      </c>
      <c r="M28" s="21" t="s">
        <v>202</v>
      </c>
      <c r="N28" s="21" t="s">
        <v>203</v>
      </c>
      <c r="O28" s="21" t="s">
        <v>204</v>
      </c>
    </row>
    <row r="29" spans="1:16" ht="16" x14ac:dyDescent="0.2">
      <c r="A29" s="5" t="s">
        <v>5</v>
      </c>
      <c r="B29" s="21" t="s">
        <v>205</v>
      </c>
      <c r="C29" s="21" t="s">
        <v>206</v>
      </c>
      <c r="D29" s="21" t="s">
        <v>207</v>
      </c>
      <c r="E29" s="21" t="s">
        <v>208</v>
      </c>
      <c r="F29" s="21" t="s">
        <v>209</v>
      </c>
      <c r="G29" s="21" t="s">
        <v>210</v>
      </c>
      <c r="H29" s="21" t="s">
        <v>211</v>
      </c>
      <c r="I29" s="21" t="s">
        <v>212</v>
      </c>
      <c r="J29" s="21" t="s">
        <v>213</v>
      </c>
      <c r="K29" s="21" t="s">
        <v>214</v>
      </c>
      <c r="L29" s="21" t="s">
        <v>215</v>
      </c>
      <c r="M29" s="21" t="s">
        <v>216</v>
      </c>
      <c r="N29" s="21" t="s">
        <v>195</v>
      </c>
      <c r="O29" s="21" t="s">
        <v>217</v>
      </c>
    </row>
    <row r="30" spans="1:16" ht="16" x14ac:dyDescent="0.2">
      <c r="A30" s="5" t="s">
        <v>6</v>
      </c>
      <c r="B30" s="21" t="s">
        <v>218</v>
      </c>
      <c r="C30" s="21" t="s">
        <v>219</v>
      </c>
      <c r="D30" s="21" t="s">
        <v>220</v>
      </c>
      <c r="E30" s="21" t="s">
        <v>207</v>
      </c>
      <c r="F30" s="21" t="s">
        <v>221</v>
      </c>
      <c r="G30" s="21" t="s">
        <v>180</v>
      </c>
      <c r="H30" s="21" t="s">
        <v>222</v>
      </c>
      <c r="I30" s="21" t="s">
        <v>209</v>
      </c>
      <c r="J30" s="21" t="s">
        <v>185</v>
      </c>
      <c r="K30" s="21" t="s">
        <v>223</v>
      </c>
      <c r="L30" s="21" t="s">
        <v>216</v>
      </c>
      <c r="M30" s="21" t="s">
        <v>183</v>
      </c>
      <c r="N30" s="21" t="s">
        <v>224</v>
      </c>
      <c r="O30" s="21" t="s">
        <v>225</v>
      </c>
    </row>
    <row r="31" spans="1:16" ht="16" x14ac:dyDescent="0.2">
      <c r="A31" s="5" t="s">
        <v>7</v>
      </c>
      <c r="B31" s="21" t="s">
        <v>226</v>
      </c>
      <c r="C31" s="21" t="s">
        <v>227</v>
      </c>
      <c r="D31" s="21" t="s">
        <v>228</v>
      </c>
      <c r="E31" s="21" t="s">
        <v>229</v>
      </c>
      <c r="F31" s="21" t="s">
        <v>230</v>
      </c>
      <c r="G31" s="21" t="s">
        <v>181</v>
      </c>
      <c r="H31" s="21" t="s">
        <v>231</v>
      </c>
      <c r="I31" s="21" t="s">
        <v>232</v>
      </c>
      <c r="J31" s="21" t="s">
        <v>207</v>
      </c>
      <c r="K31" s="21" t="s">
        <v>233</v>
      </c>
      <c r="L31" s="21" t="s">
        <v>234</v>
      </c>
      <c r="M31" s="21" t="s">
        <v>235</v>
      </c>
      <c r="N31" s="21" t="s">
        <v>236</v>
      </c>
      <c r="O31" s="21" t="s">
        <v>237</v>
      </c>
    </row>
    <row r="32" spans="1:16" ht="16" x14ac:dyDescent="0.2">
      <c r="A32" s="5" t="s">
        <v>8</v>
      </c>
      <c r="B32" s="21" t="s">
        <v>238</v>
      </c>
      <c r="C32" s="21" t="s">
        <v>239</v>
      </c>
      <c r="D32" s="21" t="s">
        <v>225</v>
      </c>
      <c r="E32" s="21" t="s">
        <v>240</v>
      </c>
      <c r="F32" s="21" t="s">
        <v>204</v>
      </c>
      <c r="G32" s="21" t="s">
        <v>241</v>
      </c>
      <c r="H32" s="21" t="s">
        <v>242</v>
      </c>
      <c r="I32" s="21" t="s">
        <v>220</v>
      </c>
      <c r="J32" s="21" t="s">
        <v>234</v>
      </c>
      <c r="K32" s="21" t="s">
        <v>219</v>
      </c>
      <c r="L32" s="21" t="s">
        <v>243</v>
      </c>
      <c r="M32" s="21" t="s">
        <v>244</v>
      </c>
      <c r="N32" s="21" t="s">
        <v>245</v>
      </c>
      <c r="O32" s="21" t="s">
        <v>246</v>
      </c>
    </row>
    <row r="33" spans="1:14" ht="16" x14ac:dyDescent="0.2">
      <c r="A33" s="5" t="s">
        <v>9</v>
      </c>
      <c r="B33" s="21" t="s">
        <v>247</v>
      </c>
      <c r="C33" s="21" t="s">
        <v>248</v>
      </c>
      <c r="D33" s="21" t="s">
        <v>249</v>
      </c>
      <c r="E33" s="21" t="s">
        <v>250</v>
      </c>
      <c r="F33" s="21" t="s">
        <v>225</v>
      </c>
      <c r="G33" s="21" t="s">
        <v>251</v>
      </c>
      <c r="H33" s="21" t="s">
        <v>252</v>
      </c>
      <c r="I33" s="21" t="s">
        <v>253</v>
      </c>
      <c r="J33" s="21" t="s">
        <v>254</v>
      </c>
      <c r="K33" s="21" t="s">
        <v>255</v>
      </c>
      <c r="L33" s="21" t="s">
        <v>256</v>
      </c>
      <c r="M33" s="21" t="s">
        <v>257</v>
      </c>
      <c r="N33" s="21" t="s">
        <v>258</v>
      </c>
    </row>
    <row r="34" spans="1:14" ht="16" x14ac:dyDescent="0.2">
      <c r="A34" s="5" t="s">
        <v>10</v>
      </c>
      <c r="E34" s="21" t="s">
        <v>246</v>
      </c>
      <c r="F34" s="21" t="s">
        <v>257</v>
      </c>
      <c r="G34" s="21" t="s">
        <v>245</v>
      </c>
      <c r="H34" s="21" t="s">
        <v>259</v>
      </c>
      <c r="I34" s="21" t="s">
        <v>239</v>
      </c>
      <c r="K34" s="21" t="s">
        <v>260</v>
      </c>
      <c r="L34" s="21" t="s">
        <v>261</v>
      </c>
      <c r="N34" s="21" t="s">
        <v>262</v>
      </c>
    </row>
    <row r="35" spans="1:14" ht="16" x14ac:dyDescent="0.2">
      <c r="A35" s="5" t="s">
        <v>11</v>
      </c>
      <c r="D35" s="21" t="s">
        <v>263</v>
      </c>
      <c r="G35" s="21" t="s">
        <v>264</v>
      </c>
      <c r="I35" s="21" t="s">
        <v>265</v>
      </c>
      <c r="K35" s="21" t="s">
        <v>266</v>
      </c>
    </row>
  </sheetData>
  <mergeCells count="4">
    <mergeCell ref="B2:O2"/>
    <mergeCell ref="A1:P1"/>
    <mergeCell ref="A20:P20"/>
    <mergeCell ref="B21:O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/>
  <dimension ref="A1:R35"/>
  <sheetViews>
    <sheetView tabSelected="1" zoomScale="70" zoomScaleNormal="70" workbookViewId="0">
      <selection activeCell="I42" sqref="I42"/>
    </sheetView>
  </sheetViews>
  <sheetFormatPr baseColWidth="10" defaultColWidth="8.83203125" defaultRowHeight="15" x14ac:dyDescent="0.2"/>
  <cols>
    <col min="1" max="1" width="26.6640625" bestFit="1" customWidth="1"/>
    <col min="2" max="7" width="17.1640625" bestFit="1" customWidth="1"/>
    <col min="8" max="8" width="17.83203125" bestFit="1" customWidth="1"/>
    <col min="9" max="15" width="17.1640625" bestFit="1" customWidth="1"/>
    <col min="16" max="16" width="14.83203125" bestFit="1" customWidth="1"/>
  </cols>
  <sheetData>
    <row r="1" spans="1:16" ht="19" x14ac:dyDescent="0.25">
      <c r="A1" s="24" t="s">
        <v>115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">
      <c r="B2" s="23" t="s">
        <v>18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6" x14ac:dyDescent="0.2">
      <c r="A3" s="18" t="s">
        <v>17</v>
      </c>
      <c r="B3" s="5" t="s">
        <v>1</v>
      </c>
      <c r="C3" s="5" t="s">
        <v>13</v>
      </c>
      <c r="D3" s="5" t="s">
        <v>14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7" t="s">
        <v>11</v>
      </c>
      <c r="O3" s="5" t="s">
        <v>12</v>
      </c>
      <c r="P3" s="3" t="s">
        <v>20</v>
      </c>
    </row>
    <row r="4" spans="1:16" x14ac:dyDescent="0.2">
      <c r="A4" s="5" t="s">
        <v>1</v>
      </c>
      <c r="B4" t="s">
        <v>109</v>
      </c>
      <c r="C4" t="s">
        <v>109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 t="s">
        <v>109</v>
      </c>
      <c r="J4" t="s">
        <v>109</v>
      </c>
      <c r="K4" t="s">
        <v>109</v>
      </c>
      <c r="L4" t="s">
        <v>109</v>
      </c>
      <c r="M4" t="s">
        <v>109</v>
      </c>
      <c r="N4" t="s">
        <v>109</v>
      </c>
      <c r="O4" t="s">
        <v>109</v>
      </c>
    </row>
    <row r="5" spans="1:16" x14ac:dyDescent="0.2">
      <c r="A5" s="5" t="s">
        <v>13</v>
      </c>
      <c r="B5" s="9" t="s">
        <v>109</v>
      </c>
      <c r="C5" s="9" t="s">
        <v>109</v>
      </c>
      <c r="D5" s="9" t="s">
        <v>109</v>
      </c>
      <c r="E5" s="9" t="s">
        <v>109</v>
      </c>
      <c r="F5" s="9" t="s">
        <v>109</v>
      </c>
      <c r="G5" s="9">
        <v>0.5271481286241434</v>
      </c>
      <c r="H5" s="9">
        <v>3.6900369003690039</v>
      </c>
      <c r="I5" s="9">
        <v>1.3178703215603584</v>
      </c>
      <c r="J5" s="9" t="s">
        <v>109</v>
      </c>
      <c r="K5" s="9" t="s">
        <v>109</v>
      </c>
      <c r="L5" s="9">
        <v>0.2635740643120717</v>
      </c>
      <c r="M5" s="9" t="s">
        <v>109</v>
      </c>
      <c r="N5" s="9" t="s">
        <v>109</v>
      </c>
      <c r="O5" s="9" t="s">
        <v>109</v>
      </c>
      <c r="P5">
        <f>SUM(B5:O5)</f>
        <v>5.7986294148655775</v>
      </c>
    </row>
    <row r="6" spans="1:16" x14ac:dyDescent="0.2">
      <c r="A6" s="5" t="s">
        <v>14</v>
      </c>
      <c r="B6" s="9" t="s">
        <v>109</v>
      </c>
      <c r="C6" s="9" t="s">
        <v>109</v>
      </c>
      <c r="D6" s="9">
        <v>0.2635740643120717</v>
      </c>
      <c r="E6" s="9" t="s">
        <v>109</v>
      </c>
      <c r="F6" s="9">
        <v>1.3178703215603584</v>
      </c>
      <c r="G6" s="9">
        <v>5.2714812862414338</v>
      </c>
      <c r="H6" s="9">
        <v>17.132314180284659</v>
      </c>
      <c r="I6" s="9">
        <v>7.6436478650500792</v>
      </c>
      <c r="J6" s="9">
        <v>2.372166578808645</v>
      </c>
      <c r="K6" s="9" t="s">
        <v>109</v>
      </c>
      <c r="L6" s="9" t="s">
        <v>109</v>
      </c>
      <c r="M6" s="9">
        <v>0.2635740643120717</v>
      </c>
      <c r="N6" s="9" t="s">
        <v>109</v>
      </c>
      <c r="O6" s="9" t="s">
        <v>109</v>
      </c>
      <c r="P6">
        <f t="shared" ref="P6:P16" si="0">SUM(B6:O6)</f>
        <v>34.264628360569318</v>
      </c>
    </row>
    <row r="7" spans="1:16" x14ac:dyDescent="0.2">
      <c r="A7" s="5" t="s">
        <v>2</v>
      </c>
      <c r="B7" s="9" t="s">
        <v>109</v>
      </c>
      <c r="C7" s="9" t="s">
        <v>109</v>
      </c>
      <c r="D7" s="9">
        <v>0.5271481286241434</v>
      </c>
      <c r="E7" s="9">
        <v>4.2171850289931472</v>
      </c>
      <c r="F7" s="9">
        <v>11.597258829731155</v>
      </c>
      <c r="G7" s="9">
        <v>12.38798102266737</v>
      </c>
      <c r="H7" s="9">
        <v>17.923036373220874</v>
      </c>
      <c r="I7" s="9">
        <v>12.38798102266737</v>
      </c>
      <c r="J7" s="9">
        <v>9.7522403795466523</v>
      </c>
      <c r="K7" s="9">
        <v>8.4343700579862944</v>
      </c>
      <c r="L7" s="9">
        <v>1.8450184501845019</v>
      </c>
      <c r="M7" s="9" t="s">
        <v>109</v>
      </c>
      <c r="N7" s="9">
        <v>0.2635740643120717</v>
      </c>
      <c r="O7" s="9" t="s">
        <v>109</v>
      </c>
      <c r="P7">
        <f t="shared" si="0"/>
        <v>79.335793357933568</v>
      </c>
    </row>
    <row r="8" spans="1:16" x14ac:dyDescent="0.2">
      <c r="A8" s="5" t="s">
        <v>3</v>
      </c>
      <c r="B8" s="9">
        <v>3.426462836056932</v>
      </c>
      <c r="C8" s="9">
        <v>8.170795993674222</v>
      </c>
      <c r="D8" s="9">
        <v>23.721665788086451</v>
      </c>
      <c r="E8" s="9">
        <v>18.450184501845019</v>
      </c>
      <c r="F8" s="9">
        <v>9.7522403795466523</v>
      </c>
      <c r="G8" s="9">
        <v>8.6979441222983667</v>
      </c>
      <c r="H8" s="9">
        <v>15.287295730100158</v>
      </c>
      <c r="I8" s="9">
        <v>11.597258829731155</v>
      </c>
      <c r="J8" s="9">
        <v>11.597258829731155</v>
      </c>
      <c r="K8" s="9">
        <v>12.915129151291513</v>
      </c>
      <c r="L8" s="9">
        <v>25.830258302583026</v>
      </c>
      <c r="M8" s="9">
        <v>10.015814443858725</v>
      </c>
      <c r="N8" s="9">
        <v>7.3800738007380078</v>
      </c>
      <c r="O8" s="9">
        <v>0.5271481286241434</v>
      </c>
      <c r="P8">
        <f t="shared" si="0"/>
        <v>167.3695308381655</v>
      </c>
    </row>
    <row r="9" spans="1:16" x14ac:dyDescent="0.2">
      <c r="A9" s="5" t="s">
        <v>4</v>
      </c>
      <c r="B9" s="9">
        <v>15.550869794412231</v>
      </c>
      <c r="C9" s="9">
        <v>21.61307327358988</v>
      </c>
      <c r="D9" s="9">
        <v>34.001054296257252</v>
      </c>
      <c r="E9" s="9">
        <v>12.915129151291513</v>
      </c>
      <c r="F9" s="9">
        <v>8.9615181866104372</v>
      </c>
      <c r="G9" s="9">
        <v>7.6436478650500792</v>
      </c>
      <c r="H9" s="9">
        <v>15.287295730100158</v>
      </c>
      <c r="I9" s="9">
        <v>9.48866631523458</v>
      </c>
      <c r="J9" s="9">
        <v>7.9072219293621506</v>
      </c>
      <c r="K9" s="9">
        <v>10.279388508170795</v>
      </c>
      <c r="L9" s="9">
        <v>24.248813916710596</v>
      </c>
      <c r="M9" s="9">
        <v>16.341591987348444</v>
      </c>
      <c r="N9" s="9">
        <v>18.71375856615709</v>
      </c>
      <c r="O9" s="9">
        <v>3.1628887717448602</v>
      </c>
      <c r="P9">
        <f t="shared" si="0"/>
        <v>206.11491829204004</v>
      </c>
    </row>
    <row r="10" spans="1:16" x14ac:dyDescent="0.2">
      <c r="A10" s="5" t="s">
        <v>5</v>
      </c>
      <c r="B10" s="9">
        <v>3.9536109646810753</v>
      </c>
      <c r="C10" s="9">
        <v>8.4343700579862944</v>
      </c>
      <c r="D10" s="9">
        <v>13.178703215603585</v>
      </c>
      <c r="E10" s="9">
        <v>9.2250922509225095</v>
      </c>
      <c r="F10" s="9">
        <v>9.7522403795466523</v>
      </c>
      <c r="G10" s="9">
        <v>10.015814443858725</v>
      </c>
      <c r="H10" s="9">
        <v>11.07011070110701</v>
      </c>
      <c r="I10" s="9">
        <v>9.7522403795466523</v>
      </c>
      <c r="J10" s="9">
        <v>9.2250922509225095</v>
      </c>
      <c r="K10" s="9">
        <v>8.4343700579862944</v>
      </c>
      <c r="L10" s="9">
        <v>13.442277279915656</v>
      </c>
      <c r="M10" s="9">
        <v>6.3257775434897203</v>
      </c>
      <c r="N10" s="9">
        <v>8.170795993674222</v>
      </c>
      <c r="O10" s="9">
        <v>0.79072219293621504</v>
      </c>
      <c r="P10">
        <f t="shared" si="0"/>
        <v>121.77121771217712</v>
      </c>
    </row>
    <row r="11" spans="1:16" x14ac:dyDescent="0.2">
      <c r="A11" s="5" t="s">
        <v>6</v>
      </c>
      <c r="B11" s="9">
        <v>3.9536109646810753</v>
      </c>
      <c r="C11" s="9">
        <v>9.2250922509225095</v>
      </c>
      <c r="D11" s="9">
        <v>10.015814443858725</v>
      </c>
      <c r="E11" s="9">
        <v>8.4343700579862944</v>
      </c>
      <c r="F11" s="9">
        <v>10.015814443858725</v>
      </c>
      <c r="G11" s="9">
        <v>11.07011070110701</v>
      </c>
      <c r="H11" s="9">
        <v>15.287295730100158</v>
      </c>
      <c r="I11" s="9">
        <v>8.4343700579862944</v>
      </c>
      <c r="J11" s="9">
        <v>9.2250922509225095</v>
      </c>
      <c r="K11" s="9">
        <v>8.6979441222983667</v>
      </c>
      <c r="L11" s="9">
        <v>12.124406958355298</v>
      </c>
      <c r="M11" s="9">
        <v>8.4343700579862944</v>
      </c>
      <c r="N11" s="9">
        <v>6.8529256721138641</v>
      </c>
      <c r="O11" s="9">
        <v>0.5271481286241434</v>
      </c>
      <c r="P11">
        <f t="shared" si="0"/>
        <v>122.2983658408013</v>
      </c>
    </row>
    <row r="12" spans="1:16" x14ac:dyDescent="0.2">
      <c r="A12" s="5" t="s">
        <v>7</v>
      </c>
      <c r="B12" s="9">
        <v>2.1085925144965736</v>
      </c>
      <c r="C12" s="9">
        <v>5.7986294148655775</v>
      </c>
      <c r="D12" s="9">
        <v>15.287295730100158</v>
      </c>
      <c r="E12" s="9">
        <v>14.232999472851871</v>
      </c>
      <c r="F12" s="9">
        <v>7.9072219293621506</v>
      </c>
      <c r="G12" s="9">
        <v>8.6979441222983667</v>
      </c>
      <c r="H12" s="9">
        <v>13.705851344227728</v>
      </c>
      <c r="I12" s="9">
        <v>14.232999472851871</v>
      </c>
      <c r="J12" s="9">
        <v>8.9615181866104372</v>
      </c>
      <c r="K12" s="9">
        <v>9.48866631523458</v>
      </c>
      <c r="L12" s="9">
        <v>13.178703215603585</v>
      </c>
      <c r="M12" s="9">
        <v>7.6436478650500792</v>
      </c>
      <c r="N12" s="9">
        <v>5.0079072219293623</v>
      </c>
      <c r="O12" s="9">
        <v>0.5271481286241434</v>
      </c>
      <c r="P12">
        <f t="shared" si="0"/>
        <v>126.77912493410649</v>
      </c>
    </row>
    <row r="13" spans="1:16" x14ac:dyDescent="0.2">
      <c r="A13" s="5" t="s">
        <v>8</v>
      </c>
      <c r="B13" s="9">
        <v>1.0542962572482868</v>
      </c>
      <c r="C13" s="9">
        <v>2.8993147074327887</v>
      </c>
      <c r="D13" s="9">
        <v>8.6979441222983667</v>
      </c>
      <c r="E13" s="9">
        <v>6.0622034791776489</v>
      </c>
      <c r="F13" s="9">
        <v>6.5893516078017926</v>
      </c>
      <c r="G13" s="9">
        <v>8.170795993674222</v>
      </c>
      <c r="H13" s="9">
        <v>12.915129151291513</v>
      </c>
      <c r="I13" s="9">
        <v>10.015814443858725</v>
      </c>
      <c r="J13" s="9">
        <v>8.6979441222983667</v>
      </c>
      <c r="K13" s="9">
        <v>5.2714812862414338</v>
      </c>
      <c r="L13" s="9">
        <v>10.542962572482868</v>
      </c>
      <c r="M13" s="9">
        <v>5.0079072219293623</v>
      </c>
      <c r="N13" s="9">
        <v>2.1085925144965736</v>
      </c>
      <c r="O13" s="9">
        <v>0.2635740643120717</v>
      </c>
      <c r="P13">
        <f t="shared" si="0"/>
        <v>88.297311544544002</v>
      </c>
    </row>
    <row r="14" spans="1:16" x14ac:dyDescent="0.2">
      <c r="A14" s="5" t="s">
        <v>9</v>
      </c>
      <c r="B14" s="9">
        <v>0.5271481286241434</v>
      </c>
      <c r="C14" s="9">
        <v>0.5271481286241434</v>
      </c>
      <c r="D14" s="9">
        <v>3.6900369003690039</v>
      </c>
      <c r="E14" s="9">
        <v>2.6357406431207169</v>
      </c>
      <c r="F14" s="9">
        <v>3.1628887717448602</v>
      </c>
      <c r="G14" s="9">
        <v>3.6900369003690039</v>
      </c>
      <c r="H14" s="9">
        <v>9.7522403795466523</v>
      </c>
      <c r="I14" s="9">
        <v>5.2714812862414338</v>
      </c>
      <c r="J14" s="9">
        <v>3.9536109646810753</v>
      </c>
      <c r="K14" s="9">
        <v>2.372166578808645</v>
      </c>
      <c r="L14" s="9">
        <v>1.8450184501845019</v>
      </c>
      <c r="M14" s="9">
        <v>1.0542962572482868</v>
      </c>
      <c r="N14" s="9">
        <v>1.5814443858724301</v>
      </c>
      <c r="O14" s="9" t="s">
        <v>109</v>
      </c>
      <c r="P14">
        <f t="shared" si="0"/>
        <v>40.063257775434899</v>
      </c>
    </row>
    <row r="15" spans="1:16" x14ac:dyDescent="0.2">
      <c r="A15" s="5" t="s">
        <v>10</v>
      </c>
      <c r="B15" s="9" t="s">
        <v>109</v>
      </c>
      <c r="C15" s="9" t="s">
        <v>109</v>
      </c>
      <c r="D15" s="9">
        <v>0.2635740643120717</v>
      </c>
      <c r="E15" s="9">
        <v>0.5271481286241434</v>
      </c>
      <c r="F15" s="9">
        <v>0.79072219293621504</v>
      </c>
      <c r="G15" s="9">
        <v>0.5271481286241434</v>
      </c>
      <c r="H15" s="9">
        <v>1.8450184501845019</v>
      </c>
      <c r="I15" s="9">
        <v>1.0542962572482868</v>
      </c>
      <c r="J15" s="9">
        <v>0.2635740643120717</v>
      </c>
      <c r="K15" s="9">
        <v>0.5271481286241434</v>
      </c>
      <c r="L15" s="9">
        <v>0.5271481286241434</v>
      </c>
      <c r="M15" s="9" t="s">
        <v>109</v>
      </c>
      <c r="N15" s="9">
        <v>0.2635740643120717</v>
      </c>
      <c r="O15" s="9" t="s">
        <v>109</v>
      </c>
      <c r="P15">
        <f t="shared" si="0"/>
        <v>6.5893516078017926</v>
      </c>
    </row>
    <row r="16" spans="1:16" x14ac:dyDescent="0.2">
      <c r="A16" s="5" t="s">
        <v>11</v>
      </c>
      <c r="B16" s="9" t="s">
        <v>109</v>
      </c>
      <c r="C16" s="9" t="s">
        <v>109</v>
      </c>
      <c r="D16" s="9">
        <v>0.2635740643120717</v>
      </c>
      <c r="E16" s="9" t="s">
        <v>109</v>
      </c>
      <c r="F16" s="9">
        <v>0.5271481286241434</v>
      </c>
      <c r="G16" s="9" t="s">
        <v>109</v>
      </c>
      <c r="H16" s="9" t="s">
        <v>109</v>
      </c>
      <c r="I16" s="9">
        <v>0.2635740643120717</v>
      </c>
      <c r="J16" s="9" t="s">
        <v>109</v>
      </c>
      <c r="K16" s="9">
        <v>0.2635740643120717</v>
      </c>
      <c r="L16" s="9" t="s">
        <v>109</v>
      </c>
      <c r="M16" s="9" t="s">
        <v>109</v>
      </c>
      <c r="N16" s="9" t="s">
        <v>109</v>
      </c>
      <c r="O16" s="9" t="s">
        <v>109</v>
      </c>
      <c r="P16">
        <f t="shared" si="0"/>
        <v>1.3178703215603584</v>
      </c>
    </row>
    <row r="17" spans="1:18" x14ac:dyDescent="0.2">
      <c r="A17" s="12" t="s">
        <v>20</v>
      </c>
      <c r="B17" s="4">
        <v>22</v>
      </c>
      <c r="C17" s="4">
        <v>191</v>
      </c>
      <c r="D17" s="4">
        <v>209</v>
      </c>
      <c r="E17" s="4">
        <v>394</v>
      </c>
      <c r="F17" s="4">
        <v>253</v>
      </c>
      <c r="G17" s="4">
        <v>273</v>
      </c>
      <c r="H17" s="4">
        <v>347</v>
      </c>
      <c r="I17" s="4">
        <v>508</v>
      </c>
      <c r="J17" s="4">
        <v>291</v>
      </c>
      <c r="K17" s="4">
        <v>267</v>
      </c>
      <c r="L17" s="4">
        <v>291</v>
      </c>
      <c r="M17" s="4">
        <v>417</v>
      </c>
      <c r="N17" s="4">
        <v>215</v>
      </c>
      <c r="O17" s="4">
        <v>116</v>
      </c>
      <c r="P17">
        <f>SUM(P5:P16)</f>
        <v>999.99999999999977</v>
      </c>
    </row>
    <row r="18" spans="1:18" x14ac:dyDescent="0.2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8" x14ac:dyDescent="0.2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8" ht="19" x14ac:dyDescent="0.25">
      <c r="A20" s="24" t="s">
        <v>116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R20" s="9"/>
    </row>
    <row r="21" spans="1:18" x14ac:dyDescent="0.2">
      <c r="B21" s="23" t="s">
        <v>18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8" x14ac:dyDescent="0.2">
      <c r="A22" s="18" t="s">
        <v>17</v>
      </c>
      <c r="B22" s="5" t="s">
        <v>1</v>
      </c>
      <c r="C22" s="5" t="s">
        <v>13</v>
      </c>
      <c r="D22" s="5" t="s">
        <v>14</v>
      </c>
      <c r="E22" s="5" t="s">
        <v>2</v>
      </c>
      <c r="F22" s="5" t="s">
        <v>3</v>
      </c>
      <c r="G22" s="5" t="s">
        <v>4</v>
      </c>
      <c r="H22" s="5" t="s">
        <v>5</v>
      </c>
      <c r="I22" s="6" t="s">
        <v>6</v>
      </c>
      <c r="J22" s="5" t="s">
        <v>7</v>
      </c>
      <c r="K22" s="5" t="s">
        <v>8</v>
      </c>
      <c r="L22" s="5" t="s">
        <v>9</v>
      </c>
      <c r="M22" s="5" t="s">
        <v>10</v>
      </c>
      <c r="N22" s="7" t="s">
        <v>11</v>
      </c>
      <c r="O22" s="5" t="s">
        <v>12</v>
      </c>
    </row>
    <row r="23" spans="1:18" x14ac:dyDescent="0.2">
      <c r="A23" s="5" t="s">
        <v>1</v>
      </c>
    </row>
    <row r="24" spans="1:18" x14ac:dyDescent="0.2">
      <c r="A24" s="5" t="s">
        <v>13</v>
      </c>
      <c r="B24" t="s">
        <v>109</v>
      </c>
      <c r="C24" t="s">
        <v>109</v>
      </c>
      <c r="D24" t="s">
        <v>109</v>
      </c>
      <c r="E24" t="s">
        <v>109</v>
      </c>
      <c r="F24" t="s">
        <v>109</v>
      </c>
      <c r="G24" t="s">
        <v>271</v>
      </c>
      <c r="H24" t="s">
        <v>270</v>
      </c>
      <c r="I24" t="s">
        <v>272</v>
      </c>
      <c r="J24" t="s">
        <v>109</v>
      </c>
      <c r="K24" t="s">
        <v>109</v>
      </c>
      <c r="L24" t="s">
        <v>294</v>
      </c>
      <c r="M24" t="s">
        <v>109</v>
      </c>
      <c r="N24" t="s">
        <v>109</v>
      </c>
      <c r="O24" t="s">
        <v>109</v>
      </c>
    </row>
    <row r="25" spans="1:18" x14ac:dyDescent="0.2">
      <c r="A25" s="5" t="s">
        <v>14</v>
      </c>
      <c r="B25" t="s">
        <v>109</v>
      </c>
      <c r="C25" t="s">
        <v>109</v>
      </c>
      <c r="D25" t="s">
        <v>323</v>
      </c>
      <c r="E25" t="s">
        <v>109</v>
      </c>
      <c r="F25" t="s">
        <v>296</v>
      </c>
      <c r="G25" t="s">
        <v>324</v>
      </c>
      <c r="H25" t="s">
        <v>272</v>
      </c>
      <c r="I25" t="s">
        <v>166</v>
      </c>
      <c r="J25" t="s">
        <v>280</v>
      </c>
      <c r="K25" t="s">
        <v>109</v>
      </c>
      <c r="L25" t="s">
        <v>109</v>
      </c>
      <c r="M25" t="s">
        <v>325</v>
      </c>
      <c r="N25" t="s">
        <v>109</v>
      </c>
      <c r="O25" t="s">
        <v>109</v>
      </c>
    </row>
    <row r="26" spans="1:18" x14ac:dyDescent="0.2">
      <c r="A26" s="5" t="s">
        <v>2</v>
      </c>
      <c r="B26" t="s">
        <v>109</v>
      </c>
      <c r="C26" t="s">
        <v>109</v>
      </c>
      <c r="D26" t="s">
        <v>326</v>
      </c>
      <c r="E26" t="s">
        <v>327</v>
      </c>
      <c r="F26" t="s">
        <v>328</v>
      </c>
      <c r="G26" t="s">
        <v>280</v>
      </c>
      <c r="H26" t="s">
        <v>286</v>
      </c>
      <c r="I26" t="s">
        <v>269</v>
      </c>
      <c r="J26" t="s">
        <v>329</v>
      </c>
      <c r="K26" t="s">
        <v>330</v>
      </c>
      <c r="L26" t="s">
        <v>331</v>
      </c>
      <c r="M26" t="s">
        <v>109</v>
      </c>
      <c r="N26" t="s">
        <v>332</v>
      </c>
      <c r="O26" t="s">
        <v>109</v>
      </c>
    </row>
    <row r="27" spans="1:18" x14ac:dyDescent="0.2">
      <c r="A27" s="5" t="s">
        <v>3</v>
      </c>
      <c r="B27" t="s">
        <v>333</v>
      </c>
      <c r="C27" t="s">
        <v>334</v>
      </c>
      <c r="D27" t="s">
        <v>335</v>
      </c>
      <c r="E27" t="s">
        <v>336</v>
      </c>
      <c r="F27" t="s">
        <v>337</v>
      </c>
      <c r="G27" t="s">
        <v>338</v>
      </c>
      <c r="H27" t="s">
        <v>280</v>
      </c>
      <c r="I27" t="s">
        <v>329</v>
      </c>
      <c r="J27" t="s">
        <v>339</v>
      </c>
      <c r="K27" t="s">
        <v>340</v>
      </c>
      <c r="L27" t="s">
        <v>283</v>
      </c>
      <c r="M27" t="s">
        <v>305</v>
      </c>
      <c r="N27" t="s">
        <v>341</v>
      </c>
      <c r="O27" t="s">
        <v>342</v>
      </c>
    </row>
    <row r="28" spans="1:18" x14ac:dyDescent="0.2">
      <c r="A28" s="5" t="s">
        <v>4</v>
      </c>
      <c r="B28" t="s">
        <v>343</v>
      </c>
      <c r="C28" t="s">
        <v>344</v>
      </c>
      <c r="D28" t="s">
        <v>345</v>
      </c>
      <c r="E28" t="s">
        <v>346</v>
      </c>
      <c r="F28" t="s">
        <v>347</v>
      </c>
      <c r="G28" t="s">
        <v>337</v>
      </c>
      <c r="H28" t="s">
        <v>267</v>
      </c>
      <c r="I28" t="s">
        <v>348</v>
      </c>
      <c r="J28" t="s">
        <v>349</v>
      </c>
      <c r="K28" t="s">
        <v>350</v>
      </c>
      <c r="L28" t="s">
        <v>335</v>
      </c>
      <c r="M28" t="s">
        <v>351</v>
      </c>
      <c r="N28" t="s">
        <v>352</v>
      </c>
      <c r="O28" t="s">
        <v>353</v>
      </c>
    </row>
    <row r="29" spans="1:18" x14ac:dyDescent="0.2">
      <c r="A29" s="5" t="s">
        <v>5</v>
      </c>
      <c r="B29" t="s">
        <v>354</v>
      </c>
      <c r="C29" t="s">
        <v>355</v>
      </c>
      <c r="D29" t="s">
        <v>356</v>
      </c>
      <c r="E29" t="s">
        <v>357</v>
      </c>
      <c r="F29" t="s">
        <v>358</v>
      </c>
      <c r="G29" t="s">
        <v>347</v>
      </c>
      <c r="H29" t="s">
        <v>309</v>
      </c>
      <c r="I29" t="s">
        <v>340</v>
      </c>
      <c r="J29" t="s">
        <v>346</v>
      </c>
      <c r="K29" t="s">
        <v>359</v>
      </c>
      <c r="L29" t="s">
        <v>360</v>
      </c>
      <c r="M29" t="s">
        <v>361</v>
      </c>
      <c r="N29" t="s">
        <v>362</v>
      </c>
      <c r="O29" t="s">
        <v>363</v>
      </c>
    </row>
    <row r="30" spans="1:18" x14ac:dyDescent="0.2">
      <c r="A30" s="5" t="s">
        <v>6</v>
      </c>
      <c r="B30" t="s">
        <v>364</v>
      </c>
      <c r="C30" t="s">
        <v>365</v>
      </c>
      <c r="D30" t="s">
        <v>366</v>
      </c>
      <c r="E30" t="s">
        <v>367</v>
      </c>
      <c r="F30" t="s">
        <v>368</v>
      </c>
      <c r="G30" t="s">
        <v>325</v>
      </c>
      <c r="H30" t="s">
        <v>369</v>
      </c>
      <c r="I30" t="s">
        <v>335</v>
      </c>
      <c r="J30" t="s">
        <v>345</v>
      </c>
      <c r="K30" t="s">
        <v>370</v>
      </c>
      <c r="L30" t="s">
        <v>371</v>
      </c>
      <c r="M30" t="s">
        <v>372</v>
      </c>
      <c r="N30" t="s">
        <v>373</v>
      </c>
      <c r="O30" t="s">
        <v>374</v>
      </c>
    </row>
    <row r="31" spans="1:18" x14ac:dyDescent="0.2">
      <c r="A31" s="5" t="s">
        <v>7</v>
      </c>
      <c r="B31" t="s">
        <v>375</v>
      </c>
      <c r="C31" t="s">
        <v>376</v>
      </c>
      <c r="D31" t="s">
        <v>377</v>
      </c>
      <c r="E31" t="s">
        <v>378</v>
      </c>
      <c r="F31" t="s">
        <v>341</v>
      </c>
      <c r="G31" t="s">
        <v>379</v>
      </c>
      <c r="H31" t="s">
        <v>380</v>
      </c>
      <c r="I31" t="s">
        <v>310</v>
      </c>
      <c r="J31" t="s">
        <v>381</v>
      </c>
      <c r="K31" t="s">
        <v>382</v>
      </c>
      <c r="L31" t="s">
        <v>383</v>
      </c>
      <c r="M31" t="s">
        <v>384</v>
      </c>
      <c r="N31" t="s">
        <v>385</v>
      </c>
      <c r="O31" t="s">
        <v>386</v>
      </c>
    </row>
    <row r="32" spans="1:18" x14ac:dyDescent="0.2">
      <c r="A32" s="5" t="s">
        <v>8</v>
      </c>
      <c r="B32" t="s">
        <v>387</v>
      </c>
      <c r="C32" t="s">
        <v>388</v>
      </c>
      <c r="D32" t="s">
        <v>389</v>
      </c>
      <c r="E32" t="s">
        <v>390</v>
      </c>
      <c r="F32" t="s">
        <v>391</v>
      </c>
      <c r="G32" t="s">
        <v>392</v>
      </c>
      <c r="H32" t="s">
        <v>393</v>
      </c>
      <c r="I32" t="s">
        <v>366</v>
      </c>
      <c r="J32" t="s">
        <v>394</v>
      </c>
      <c r="K32" t="s">
        <v>303</v>
      </c>
      <c r="L32" t="s">
        <v>395</v>
      </c>
      <c r="M32" t="s">
        <v>396</v>
      </c>
      <c r="N32" t="s">
        <v>397</v>
      </c>
      <c r="O32" t="s">
        <v>398</v>
      </c>
    </row>
    <row r="33" spans="1:15" x14ac:dyDescent="0.2">
      <c r="A33" s="5" t="s">
        <v>9</v>
      </c>
      <c r="B33" t="s">
        <v>399</v>
      </c>
      <c r="C33" t="s">
        <v>400</v>
      </c>
      <c r="D33" t="s">
        <v>401</v>
      </c>
      <c r="E33" t="s">
        <v>402</v>
      </c>
      <c r="F33" t="s">
        <v>403</v>
      </c>
      <c r="G33" t="s">
        <v>404</v>
      </c>
      <c r="H33" t="s">
        <v>343</v>
      </c>
      <c r="I33" t="s">
        <v>303</v>
      </c>
      <c r="J33" t="s">
        <v>312</v>
      </c>
      <c r="K33" t="s">
        <v>405</v>
      </c>
      <c r="L33" t="s">
        <v>406</v>
      </c>
      <c r="M33" t="s">
        <v>407</v>
      </c>
      <c r="N33" t="s">
        <v>408</v>
      </c>
      <c r="O33" t="s">
        <v>109</v>
      </c>
    </row>
    <row r="34" spans="1:15" x14ac:dyDescent="0.2">
      <c r="A34" s="5" t="s">
        <v>10</v>
      </c>
      <c r="B34" t="s">
        <v>109</v>
      </c>
      <c r="C34" t="s">
        <v>109</v>
      </c>
      <c r="D34" t="s">
        <v>409</v>
      </c>
      <c r="E34" t="s">
        <v>410</v>
      </c>
      <c r="F34" t="s">
        <v>410</v>
      </c>
      <c r="G34" t="s">
        <v>411</v>
      </c>
      <c r="H34" t="s">
        <v>412</v>
      </c>
      <c r="I34" t="s">
        <v>413</v>
      </c>
      <c r="J34" t="s">
        <v>414</v>
      </c>
      <c r="K34" t="s">
        <v>415</v>
      </c>
      <c r="L34" t="s">
        <v>416</v>
      </c>
      <c r="M34" t="s">
        <v>109</v>
      </c>
      <c r="N34" t="s">
        <v>417</v>
      </c>
      <c r="O34" t="s">
        <v>109</v>
      </c>
    </row>
    <row r="35" spans="1:15" x14ac:dyDescent="0.2">
      <c r="A35" s="5" t="s">
        <v>11</v>
      </c>
      <c r="B35" t="s">
        <v>109</v>
      </c>
      <c r="C35" t="s">
        <v>109</v>
      </c>
      <c r="D35" t="s">
        <v>109</v>
      </c>
      <c r="E35" t="s">
        <v>109</v>
      </c>
      <c r="F35" t="s">
        <v>418</v>
      </c>
      <c r="G35" t="s">
        <v>109</v>
      </c>
      <c r="H35" t="s">
        <v>109</v>
      </c>
      <c r="I35" t="s">
        <v>419</v>
      </c>
      <c r="J35" t="s">
        <v>109</v>
      </c>
      <c r="K35" t="s">
        <v>420</v>
      </c>
      <c r="L35" t="s">
        <v>109</v>
      </c>
      <c r="M35" t="s">
        <v>109</v>
      </c>
      <c r="N35" t="s">
        <v>109</v>
      </c>
      <c r="O35" t="s">
        <v>109</v>
      </c>
    </row>
  </sheetData>
  <mergeCells count="4">
    <mergeCell ref="B2:O2"/>
    <mergeCell ref="B21:O21"/>
    <mergeCell ref="A1:P1"/>
    <mergeCell ref="A20:O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2"/>
  <dimension ref="A1:P28"/>
  <sheetViews>
    <sheetView zoomScale="77" zoomScaleNormal="77" workbookViewId="0">
      <selection activeCell="B19" sqref="B19:O28"/>
    </sheetView>
  </sheetViews>
  <sheetFormatPr baseColWidth="10" defaultColWidth="8.83203125" defaultRowHeight="15" x14ac:dyDescent="0.2"/>
  <cols>
    <col min="1" max="1" width="20.5" bestFit="1" customWidth="1"/>
    <col min="2" max="7" width="14.5" bestFit="1" customWidth="1"/>
    <col min="8" max="8" width="15.5" bestFit="1" customWidth="1"/>
    <col min="9" max="15" width="14.5" bestFit="1" customWidth="1"/>
    <col min="16" max="16" width="5.5" bestFit="1" customWidth="1"/>
  </cols>
  <sheetData>
    <row r="1" spans="1:16" s="13" customFormat="1" ht="19" x14ac:dyDescent="0.25">
      <c r="A1" s="24" t="s">
        <v>117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">
      <c r="B2" s="23" t="s">
        <v>18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6" x14ac:dyDescent="0.2">
      <c r="A3" s="18" t="s">
        <v>17</v>
      </c>
      <c r="B3" s="5" t="s">
        <v>1</v>
      </c>
      <c r="C3" s="5" t="s">
        <v>13</v>
      </c>
      <c r="D3" s="5" t="s">
        <v>14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7" t="s">
        <v>11</v>
      </c>
      <c r="O3" s="5" t="s">
        <v>12</v>
      </c>
      <c r="P3" s="3" t="s">
        <v>20</v>
      </c>
    </row>
    <row r="4" spans="1:16" x14ac:dyDescent="0.2">
      <c r="A4" s="5" t="s">
        <v>1</v>
      </c>
      <c r="B4" s="9" t="s">
        <v>109</v>
      </c>
      <c r="C4" s="9" t="s">
        <v>109</v>
      </c>
      <c r="D4" s="9" t="s">
        <v>109</v>
      </c>
      <c r="E4" s="9" t="s">
        <v>109</v>
      </c>
      <c r="F4" s="9" t="s">
        <v>109</v>
      </c>
      <c r="G4" s="9" t="s">
        <v>109</v>
      </c>
      <c r="H4" s="9" t="s">
        <v>109</v>
      </c>
      <c r="I4" s="9" t="s">
        <v>109</v>
      </c>
      <c r="J4" s="9">
        <v>0.33795201081446435</v>
      </c>
      <c r="K4" s="9" t="s">
        <v>109</v>
      </c>
      <c r="L4" s="9" t="s">
        <v>109</v>
      </c>
      <c r="M4" s="9" t="s">
        <v>109</v>
      </c>
      <c r="N4" s="9" t="s">
        <v>109</v>
      </c>
      <c r="O4" s="9" t="s">
        <v>109</v>
      </c>
      <c r="P4">
        <v>1</v>
      </c>
    </row>
    <row r="5" spans="1:16" x14ac:dyDescent="0.2">
      <c r="A5" s="5" t="s">
        <v>13</v>
      </c>
      <c r="B5" s="9" t="s">
        <v>109</v>
      </c>
      <c r="C5" s="9" t="s">
        <v>109</v>
      </c>
      <c r="D5" s="9">
        <v>0.33795201081446435</v>
      </c>
      <c r="E5" s="9" t="s">
        <v>109</v>
      </c>
      <c r="F5" s="9" t="s">
        <v>109</v>
      </c>
      <c r="G5" s="9">
        <v>0.67590402162892871</v>
      </c>
      <c r="H5" s="9">
        <v>25.008448800270362</v>
      </c>
      <c r="I5" s="9">
        <v>5.7451841838458941</v>
      </c>
      <c r="J5" s="9">
        <v>0.33795201081446435</v>
      </c>
      <c r="K5" s="9" t="s">
        <v>109</v>
      </c>
      <c r="L5" s="9">
        <v>0.33795201081446435</v>
      </c>
      <c r="M5" s="9">
        <v>0.33795201081446435</v>
      </c>
      <c r="N5" s="9" t="s">
        <v>109</v>
      </c>
      <c r="O5" s="9">
        <v>0.33795201081446435</v>
      </c>
      <c r="P5">
        <v>98</v>
      </c>
    </row>
    <row r="6" spans="1:16" x14ac:dyDescent="0.2">
      <c r="A6" s="5" t="s">
        <v>14</v>
      </c>
      <c r="B6" s="9" t="s">
        <v>109</v>
      </c>
      <c r="C6" s="9">
        <v>0.33795201081446435</v>
      </c>
      <c r="D6" s="9" t="s">
        <v>109</v>
      </c>
      <c r="E6" s="9" t="s">
        <v>109</v>
      </c>
      <c r="F6" s="9">
        <v>1.6897600540723217</v>
      </c>
      <c r="G6" s="9">
        <v>20.615072659682326</v>
      </c>
      <c r="H6" s="9">
        <v>125.38019601216627</v>
      </c>
      <c r="I6" s="9">
        <v>31.767489016559647</v>
      </c>
      <c r="J6" s="9">
        <v>8.7867522811760725</v>
      </c>
      <c r="K6" s="9">
        <v>0.67590402162892871</v>
      </c>
      <c r="L6" s="9" t="s">
        <v>109</v>
      </c>
      <c r="M6" s="9">
        <v>0.33795201081446435</v>
      </c>
      <c r="N6" s="9" t="s">
        <v>109</v>
      </c>
      <c r="O6" s="9" t="s">
        <v>109</v>
      </c>
      <c r="P6">
        <v>561</v>
      </c>
    </row>
    <row r="7" spans="1:16" x14ac:dyDescent="0.2">
      <c r="A7" s="5" t="s">
        <v>2</v>
      </c>
      <c r="B7" s="9">
        <v>0.33795201081446435</v>
      </c>
      <c r="C7" s="9">
        <v>0.33795201081446435</v>
      </c>
      <c r="D7" s="9">
        <v>0.67590402162892871</v>
      </c>
      <c r="E7" s="9">
        <v>8.7867522811760725</v>
      </c>
      <c r="F7" s="9">
        <v>15.207840486650895</v>
      </c>
      <c r="G7" s="9">
        <v>23.318688746198038</v>
      </c>
      <c r="H7" s="9">
        <v>16.559648529908753</v>
      </c>
      <c r="I7" s="9">
        <v>12.842176410949644</v>
      </c>
      <c r="J7" s="9">
        <v>20.615072659682326</v>
      </c>
      <c r="K7" s="9">
        <v>17.235552551537683</v>
      </c>
      <c r="L7" s="9">
        <v>3.0415680973301793</v>
      </c>
      <c r="M7" s="9">
        <v>0.33795201081446435</v>
      </c>
      <c r="N7" s="9" t="s">
        <v>109</v>
      </c>
      <c r="O7" s="9">
        <v>0.33795201081446435</v>
      </c>
      <c r="P7">
        <v>354</v>
      </c>
    </row>
    <row r="8" spans="1:16" x14ac:dyDescent="0.2">
      <c r="A8" s="5" t="s">
        <v>3</v>
      </c>
      <c r="B8" s="9">
        <v>43.933761405880368</v>
      </c>
      <c r="C8" s="9">
        <v>22.304832713754646</v>
      </c>
      <c r="D8" s="9">
        <v>36.836769178776613</v>
      </c>
      <c r="E8" s="9">
        <v>29.063872930043935</v>
      </c>
      <c r="F8" s="9">
        <v>11.490368367691788</v>
      </c>
      <c r="G8" s="9">
        <v>1.6897600540723217</v>
      </c>
      <c r="H8" s="9" t="s">
        <v>109</v>
      </c>
      <c r="I8" s="9">
        <v>0.67590402162892871</v>
      </c>
      <c r="J8" s="9">
        <v>6.0831361946603586</v>
      </c>
      <c r="K8" s="9">
        <v>18.925312605610003</v>
      </c>
      <c r="L8" s="9">
        <v>40.21628928692126</v>
      </c>
      <c r="M8" s="9">
        <v>24.332544778641434</v>
      </c>
      <c r="N8" s="9">
        <v>25.008448800270362</v>
      </c>
      <c r="O8" s="9">
        <v>22.642784724569111</v>
      </c>
      <c r="P8">
        <v>838</v>
      </c>
    </row>
    <row r="9" spans="1:16" x14ac:dyDescent="0.2">
      <c r="A9" s="5" t="s">
        <v>4</v>
      </c>
      <c r="B9" s="9">
        <v>115.91753970936126</v>
      </c>
      <c r="C9" s="9">
        <v>44.27171341669483</v>
      </c>
      <c r="D9" s="9">
        <v>28.050016897600539</v>
      </c>
      <c r="E9" s="9">
        <v>6.0831361946603586</v>
      </c>
      <c r="F9" s="9">
        <v>0.33795201081446435</v>
      </c>
      <c r="G9" s="9">
        <v>0.67590402162892871</v>
      </c>
      <c r="H9" s="9" t="s">
        <v>109</v>
      </c>
      <c r="I9" s="9" t="s">
        <v>109</v>
      </c>
      <c r="J9" s="9">
        <v>0.67590402162892871</v>
      </c>
      <c r="K9" s="9">
        <v>4.3933761405880363</v>
      </c>
      <c r="L9" s="9">
        <v>17.91145657316661</v>
      </c>
      <c r="M9" s="9">
        <v>30.415680973301789</v>
      </c>
      <c r="N9" s="9">
        <v>49.003041568097331</v>
      </c>
      <c r="O9" s="9">
        <v>57.45184183845894</v>
      </c>
      <c r="P9">
        <v>1051</v>
      </c>
    </row>
    <row r="10" spans="1:16" x14ac:dyDescent="0.2">
      <c r="A10" s="5" t="s">
        <v>5</v>
      </c>
      <c r="B10" s="9">
        <v>6.7590402162892866</v>
      </c>
      <c r="C10" s="9">
        <v>1.3518080432578574</v>
      </c>
      <c r="D10" s="9">
        <v>1.013856032443393</v>
      </c>
      <c r="E10" s="9" t="s">
        <v>109</v>
      </c>
      <c r="F10" s="9" t="s">
        <v>109</v>
      </c>
      <c r="G10" s="9" t="s">
        <v>109</v>
      </c>
      <c r="H10" s="9" t="s">
        <v>109</v>
      </c>
      <c r="I10" s="9" t="s">
        <v>109</v>
      </c>
      <c r="J10" s="9" t="s">
        <v>109</v>
      </c>
      <c r="K10" s="9">
        <v>0.33795201081446435</v>
      </c>
      <c r="L10" s="9" t="s">
        <v>109</v>
      </c>
      <c r="M10" s="9">
        <v>0.67590402162892871</v>
      </c>
      <c r="N10" s="9">
        <v>1.3518080432578574</v>
      </c>
      <c r="O10" s="9">
        <v>5.7451841838458941</v>
      </c>
      <c r="P10">
        <v>51</v>
      </c>
    </row>
    <row r="11" spans="1:16" x14ac:dyDescent="0.2">
      <c r="A11" s="5" t="s">
        <v>6</v>
      </c>
      <c r="B11" s="9" t="s">
        <v>109</v>
      </c>
      <c r="C11" s="9">
        <v>0.33795201081446435</v>
      </c>
      <c r="D11" s="9" t="s">
        <v>109</v>
      </c>
      <c r="E11" s="9" t="s">
        <v>109</v>
      </c>
      <c r="F11" s="9" t="s">
        <v>109</v>
      </c>
      <c r="G11" s="9" t="s">
        <v>109</v>
      </c>
      <c r="H11" s="9" t="s">
        <v>109</v>
      </c>
      <c r="I11" s="9" t="s">
        <v>109</v>
      </c>
      <c r="J11" s="9" t="s">
        <v>109</v>
      </c>
      <c r="K11" s="9" t="s">
        <v>109</v>
      </c>
      <c r="L11" s="9">
        <v>0.33795201081446435</v>
      </c>
      <c r="M11" s="9" t="s">
        <v>109</v>
      </c>
      <c r="N11" s="9" t="s">
        <v>109</v>
      </c>
      <c r="O11" s="9">
        <v>0.67590402162892871</v>
      </c>
      <c r="P11">
        <v>4</v>
      </c>
    </row>
    <row r="12" spans="1:16" x14ac:dyDescent="0.2">
      <c r="A12" s="5" t="s">
        <v>7</v>
      </c>
      <c r="B12" s="9" t="s">
        <v>109</v>
      </c>
      <c r="C12" s="9" t="s">
        <v>109</v>
      </c>
      <c r="D12" s="9" t="s">
        <v>109</v>
      </c>
      <c r="E12" s="9" t="s">
        <v>109</v>
      </c>
      <c r="F12" s="9" t="s">
        <v>109</v>
      </c>
      <c r="G12" s="9" t="s">
        <v>109</v>
      </c>
      <c r="H12" s="9" t="s">
        <v>109</v>
      </c>
      <c r="I12" s="9" t="s">
        <v>109</v>
      </c>
      <c r="J12" s="9" t="s">
        <v>109</v>
      </c>
      <c r="K12" s="9" t="s">
        <v>109</v>
      </c>
      <c r="L12" s="9" t="s">
        <v>109</v>
      </c>
      <c r="M12" s="9">
        <v>0.33795201081446435</v>
      </c>
      <c r="N12" s="9" t="s">
        <v>109</v>
      </c>
      <c r="O12" s="9" t="s">
        <v>109</v>
      </c>
      <c r="P12">
        <v>1</v>
      </c>
    </row>
    <row r="13" spans="1:16" x14ac:dyDescent="0.2">
      <c r="A13" s="5" t="s">
        <v>8</v>
      </c>
      <c r="B13" s="4">
        <v>258</v>
      </c>
      <c r="C13" s="4">
        <v>223</v>
      </c>
      <c r="D13" s="4">
        <v>168</v>
      </c>
      <c r="E13" s="4">
        <v>183</v>
      </c>
      <c r="F13" s="4">
        <v>123</v>
      </c>
      <c r="G13" s="4">
        <v>109</v>
      </c>
      <c r="H13" s="4">
        <v>151</v>
      </c>
      <c r="I13" s="4">
        <v>494</v>
      </c>
      <c r="J13" s="4">
        <v>139</v>
      </c>
      <c r="K13" s="4">
        <v>85</v>
      </c>
      <c r="L13" s="4">
        <v>130</v>
      </c>
      <c r="M13" s="4">
        <v>198</v>
      </c>
      <c r="N13" s="4">
        <v>204</v>
      </c>
      <c r="O13" s="4">
        <v>494</v>
      </c>
      <c r="P13" s="4">
        <v>2959</v>
      </c>
    </row>
    <row r="16" spans="1:16" ht="19" x14ac:dyDescent="0.25">
      <c r="A16" s="24" t="s">
        <v>110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1:15" x14ac:dyDescent="0.2">
      <c r="B17" s="23" t="s">
        <v>18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15" x14ac:dyDescent="0.2">
      <c r="A18" s="18" t="s">
        <v>17</v>
      </c>
      <c r="B18" s="5" t="s">
        <v>1</v>
      </c>
      <c r="C18" s="5" t="s">
        <v>13</v>
      </c>
      <c r="D18" s="5" t="s">
        <v>14</v>
      </c>
      <c r="E18" s="5" t="s">
        <v>2</v>
      </c>
      <c r="F18" s="5" t="s">
        <v>3</v>
      </c>
      <c r="G18" s="5" t="s">
        <v>4</v>
      </c>
      <c r="H18" s="5" t="s">
        <v>5</v>
      </c>
      <c r="I18" s="6" t="s">
        <v>6</v>
      </c>
      <c r="J18" s="5" t="s">
        <v>7</v>
      </c>
      <c r="K18" s="5" t="s">
        <v>8</v>
      </c>
      <c r="L18" s="5" t="s">
        <v>9</v>
      </c>
      <c r="M18" s="5" t="s">
        <v>10</v>
      </c>
      <c r="N18" s="7" t="s">
        <v>11</v>
      </c>
      <c r="O18" s="5" t="s">
        <v>12</v>
      </c>
    </row>
    <row r="19" spans="1:15" x14ac:dyDescent="0.2">
      <c r="A19" s="5" t="s">
        <v>1</v>
      </c>
      <c r="B19" t="s">
        <v>109</v>
      </c>
      <c r="C19" t="s">
        <v>109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 t="s">
        <v>109</v>
      </c>
      <c r="J19" t="s">
        <v>267</v>
      </c>
      <c r="K19" t="s">
        <v>109</v>
      </c>
      <c r="L19" t="s">
        <v>109</v>
      </c>
      <c r="M19" t="s">
        <v>109</v>
      </c>
      <c r="N19" t="s">
        <v>109</v>
      </c>
      <c r="O19" t="s">
        <v>109</v>
      </c>
    </row>
    <row r="20" spans="1:15" x14ac:dyDescent="0.2">
      <c r="A20" s="5" t="s">
        <v>13</v>
      </c>
      <c r="B20" t="s">
        <v>109</v>
      </c>
      <c r="C20" t="s">
        <v>109</v>
      </c>
      <c r="D20" t="s">
        <v>268</v>
      </c>
      <c r="E20" t="s">
        <v>109</v>
      </c>
      <c r="F20" t="s">
        <v>109</v>
      </c>
      <c r="G20" t="s">
        <v>269</v>
      </c>
      <c r="H20" t="s">
        <v>270</v>
      </c>
      <c r="I20" t="s">
        <v>271</v>
      </c>
      <c r="J20" t="s">
        <v>272</v>
      </c>
      <c r="K20" t="s">
        <v>109</v>
      </c>
      <c r="L20" t="s">
        <v>273</v>
      </c>
      <c r="M20" t="s">
        <v>274</v>
      </c>
      <c r="N20" t="s">
        <v>109</v>
      </c>
      <c r="O20" t="s">
        <v>275</v>
      </c>
    </row>
    <row r="21" spans="1:15" x14ac:dyDescent="0.2">
      <c r="A21" s="5" t="s">
        <v>14</v>
      </c>
      <c r="B21" t="s">
        <v>109</v>
      </c>
      <c r="C21" t="s">
        <v>276</v>
      </c>
      <c r="D21" t="s">
        <v>109</v>
      </c>
      <c r="E21" t="s">
        <v>109</v>
      </c>
      <c r="F21" t="s">
        <v>277</v>
      </c>
      <c r="G21" t="s">
        <v>278</v>
      </c>
      <c r="H21" t="s">
        <v>272</v>
      </c>
      <c r="I21" t="s">
        <v>166</v>
      </c>
      <c r="J21" t="s">
        <v>279</v>
      </c>
      <c r="K21" t="s">
        <v>280</v>
      </c>
      <c r="L21" t="s">
        <v>109</v>
      </c>
      <c r="M21" t="s">
        <v>281</v>
      </c>
      <c r="N21" t="s">
        <v>109</v>
      </c>
      <c r="O21" t="s">
        <v>109</v>
      </c>
    </row>
    <row r="22" spans="1:15" x14ac:dyDescent="0.2">
      <c r="A22" s="5" t="s">
        <v>2</v>
      </c>
      <c r="B22" t="s">
        <v>282</v>
      </c>
      <c r="C22" t="s">
        <v>109</v>
      </c>
      <c r="D22" t="s">
        <v>283</v>
      </c>
      <c r="E22" t="s">
        <v>284</v>
      </c>
      <c r="F22" t="s">
        <v>188</v>
      </c>
      <c r="G22" t="s">
        <v>285</v>
      </c>
      <c r="H22" t="s">
        <v>286</v>
      </c>
      <c r="I22" t="s">
        <v>269</v>
      </c>
      <c r="J22" t="s">
        <v>287</v>
      </c>
      <c r="K22" t="s">
        <v>288</v>
      </c>
      <c r="L22" t="s">
        <v>289</v>
      </c>
      <c r="M22" t="s">
        <v>290</v>
      </c>
      <c r="N22" t="s">
        <v>109</v>
      </c>
      <c r="O22" t="s">
        <v>109</v>
      </c>
    </row>
    <row r="23" spans="1:15" x14ac:dyDescent="0.2">
      <c r="A23" s="5" t="s">
        <v>3</v>
      </c>
      <c r="B23" t="s">
        <v>291</v>
      </c>
      <c r="C23" t="s">
        <v>292</v>
      </c>
      <c r="D23" t="s">
        <v>293</v>
      </c>
      <c r="E23" t="s">
        <v>294</v>
      </c>
      <c r="F23" t="s">
        <v>295</v>
      </c>
      <c r="G23" t="s">
        <v>296</v>
      </c>
      <c r="H23" t="s">
        <v>109</v>
      </c>
      <c r="I23" t="s">
        <v>280</v>
      </c>
      <c r="J23" t="s">
        <v>297</v>
      </c>
      <c r="K23" t="s">
        <v>298</v>
      </c>
      <c r="L23" t="s">
        <v>299</v>
      </c>
      <c r="M23" t="s">
        <v>300</v>
      </c>
      <c r="N23" t="s">
        <v>301</v>
      </c>
      <c r="O23" t="s">
        <v>302</v>
      </c>
    </row>
    <row r="24" spans="1:15" x14ac:dyDescent="0.2">
      <c r="A24" s="5" t="s">
        <v>4</v>
      </c>
      <c r="B24" t="s">
        <v>303</v>
      </c>
      <c r="C24" t="s">
        <v>304</v>
      </c>
      <c r="D24" t="s">
        <v>305</v>
      </c>
      <c r="E24" t="s">
        <v>283</v>
      </c>
      <c r="F24" t="s">
        <v>306</v>
      </c>
      <c r="G24" t="s">
        <v>307</v>
      </c>
      <c r="H24" t="s">
        <v>109</v>
      </c>
      <c r="I24" t="s">
        <v>109</v>
      </c>
      <c r="J24" t="s">
        <v>308</v>
      </c>
      <c r="K24" t="s">
        <v>309</v>
      </c>
      <c r="L24" t="s">
        <v>281</v>
      </c>
      <c r="M24" t="s">
        <v>310</v>
      </c>
      <c r="N24" t="s">
        <v>275</v>
      </c>
      <c r="O24" t="s">
        <v>311</v>
      </c>
    </row>
    <row r="25" spans="1:15" x14ac:dyDescent="0.2">
      <c r="A25" s="5" t="s">
        <v>5</v>
      </c>
      <c r="B25" t="s">
        <v>312</v>
      </c>
      <c r="C25" t="s">
        <v>313</v>
      </c>
      <c r="D25" t="s">
        <v>314</v>
      </c>
      <c r="E25" t="s">
        <v>109</v>
      </c>
      <c r="F25" t="s">
        <v>109</v>
      </c>
      <c r="G25" t="s">
        <v>109</v>
      </c>
      <c r="H25" t="s">
        <v>109</v>
      </c>
      <c r="I25" t="s">
        <v>109</v>
      </c>
      <c r="J25" t="s">
        <v>109</v>
      </c>
      <c r="K25" t="s">
        <v>315</v>
      </c>
      <c r="L25" t="s">
        <v>109</v>
      </c>
      <c r="M25" t="s">
        <v>316</v>
      </c>
      <c r="N25" t="s">
        <v>317</v>
      </c>
      <c r="O25" t="s">
        <v>318</v>
      </c>
    </row>
    <row r="26" spans="1:15" x14ac:dyDescent="0.2">
      <c r="A26" s="5" t="s">
        <v>6</v>
      </c>
      <c r="B26" t="s">
        <v>109</v>
      </c>
      <c r="C26" t="s">
        <v>319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 t="s">
        <v>109</v>
      </c>
      <c r="J26" t="s">
        <v>109</v>
      </c>
      <c r="K26" t="s">
        <v>109</v>
      </c>
      <c r="L26" t="s">
        <v>320</v>
      </c>
      <c r="M26" t="s">
        <v>109</v>
      </c>
      <c r="N26" t="s">
        <v>109</v>
      </c>
      <c r="O26" t="s">
        <v>321</v>
      </c>
    </row>
    <row r="27" spans="1:15" x14ac:dyDescent="0.2">
      <c r="A27" s="5" t="s">
        <v>7</v>
      </c>
      <c r="B27" t="s">
        <v>109</v>
      </c>
      <c r="C27" t="s">
        <v>109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 t="s">
        <v>109</v>
      </c>
      <c r="J27" t="s">
        <v>109</v>
      </c>
      <c r="K27" t="s">
        <v>109</v>
      </c>
      <c r="L27" t="s">
        <v>109</v>
      </c>
      <c r="M27" t="s">
        <v>322</v>
      </c>
      <c r="N27" t="s">
        <v>109</v>
      </c>
      <c r="O27" t="s">
        <v>109</v>
      </c>
    </row>
    <row r="28" spans="1:15" x14ac:dyDescent="0.2">
      <c r="A28" s="5" t="s">
        <v>8</v>
      </c>
    </row>
  </sheetData>
  <mergeCells count="4">
    <mergeCell ref="B2:O2"/>
    <mergeCell ref="B17:O17"/>
    <mergeCell ref="A1:P1"/>
    <mergeCell ref="A16:O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/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Success by Venue</vt:lpstr>
      <vt:lpstr>Overall Distribution</vt:lpstr>
      <vt:lpstr>Penalty Distribution</vt:lpstr>
      <vt:lpstr>Conversion Distribution</vt:lpstr>
      <vt:lpstr>Sheet1</vt:lpstr>
    </vt:vector>
  </TitlesOfParts>
  <Company>NZRU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Quarrie</dc:creator>
  <cp:lastModifiedBy>Kenny Watts</cp:lastModifiedBy>
  <dcterms:created xsi:type="dcterms:W3CDTF">2011-12-11T09:03:12Z</dcterms:created>
  <dcterms:modified xsi:type="dcterms:W3CDTF">2025-10-13T20:41:32Z</dcterms:modified>
</cp:coreProperties>
</file>